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de Itens" sheetId="1" state="visible" r:id="rId1"/>
    <sheet xmlns:r="http://schemas.openxmlformats.org/officeDocument/2006/relationships" name="Resumo Executivo (P&amp;L)" sheetId="2" state="visible" r:id="rId2"/>
  </sheets>
  <definedNames>
    <definedName name="_xlnm._FilterDatabase" localSheetId="0" hidden="1">'Lista de Itens'!$A$3:$M$165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\$\ #,##0.00"/>
    <numFmt numFmtId="165" formatCode="\R\$\ #,##0.00"/>
    <numFmt numFmtId="166" formatCode="0.000"/>
  </numFmts>
  <fonts count="7">
    <font>
      <name val="Calibri"/>
      <family val="2"/>
      <color theme="1"/>
      <sz val="11"/>
      <scheme val="minor"/>
    </font>
    <font>
      <b val="1"/>
      <sz val="13"/>
    </font>
    <font>
      <b val="1"/>
      <color rgb="FFFFFFFF"/>
    </font>
    <font>
      <b val="1"/>
    </font>
    <font>
      <i val="1"/>
      <color rgb="FF808080"/>
      <sz val="9"/>
    </font>
    <font>
      <b val="1"/>
      <sz val="1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3" borderId="1" pivotButton="0" quotePrefix="0" xfId="0"/>
    <xf numFmtId="10" fontId="3" fillId="3" borderId="1" pivotButton="0" quotePrefix="0" xfId="0"/>
    <xf numFmtId="0" fontId="4" fillId="0" borderId="0" pivotButton="0" quotePrefix="0" xfId="0"/>
    <xf numFmtId="10" fontId="0" fillId="3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26" customWidth="1" min="3" max="3"/>
    <col width="22" customWidth="1" min="4" max="4"/>
    <col width="10" customWidth="1" min="5" max="5"/>
    <col width="20" customWidth="1" min="6" max="6"/>
    <col width="20" customWidth="1" min="7" max="7"/>
    <col width="20" customWidth="1" min="8" max="8"/>
    <col width="12" customWidth="1" min="9" max="9"/>
    <col width="14" customWidth="1" min="10" max="10"/>
    <col width="12" customWidth="1" min="11" max="11"/>
    <col width="22" customWidth="1" min="12" max="12"/>
    <col width="30" customWidth="1" min="13" max="13"/>
  </cols>
  <sheetData>
    <row r="1">
      <c r="A1" s="1" t="inlineStr">
        <is>
          <t>LISTA DE ITENS - Proposta de Custo MRS Pathfinder GDT</t>
        </is>
      </c>
    </row>
    <row r="3">
      <c r="A3" s="2" t="inlineStr">
        <is>
          <t>Part Number</t>
        </is>
      </c>
      <c r="B3" s="2" t="inlineStr">
        <is>
          <t>Descrição</t>
        </is>
      </c>
      <c r="C3" s="2" t="inlineStr">
        <is>
          <t>Sistema</t>
        </is>
      </c>
      <c r="D3" s="2" t="inlineStr">
        <is>
          <t>Subsistema</t>
        </is>
      </c>
      <c r="E3" s="2" t="inlineStr">
        <is>
          <t>Quantidade</t>
        </is>
      </c>
      <c r="F3" s="2" t="inlineStr">
        <is>
          <t>Fonte do Custo</t>
        </is>
      </c>
      <c r="G3" s="2" t="inlineStr">
        <is>
          <t>Custo Unitário USD (Itens Importados, sem markup)</t>
        </is>
      </c>
      <c r="H3" s="2" t="inlineStr">
        <is>
          <t>Custo Unitário BRL (Itens PAC, custo local nacionalizado)</t>
        </is>
      </c>
      <c r="I3" s="2" t="inlineStr">
        <is>
          <t>Peso (kg)</t>
        </is>
      </c>
      <c r="J3" s="2" t="inlineStr">
        <is>
          <t>Confiança do Peso</t>
        </is>
      </c>
      <c r="K3" s="2" t="inlineStr">
        <is>
          <t>NCM</t>
        </is>
      </c>
      <c r="L3" s="2" t="inlineStr">
        <is>
          <t>Dimensões (C x A x L, in)</t>
        </is>
      </c>
      <c r="M3" s="2" t="inlineStr">
        <is>
          <t>Observações</t>
        </is>
      </c>
    </row>
    <row r="4">
      <c r="A4" t="inlineStr">
        <is>
          <t>41A296352CMP437</t>
        </is>
      </c>
      <c r="B4" t="inlineStr">
        <is>
          <t>Dual Processor Module (DPM)+ LXA (Distributed Power Radio)</t>
        </is>
      </c>
      <c r="C4" t="inlineStr">
        <is>
          <t>Controls (MCA, train control, er etc)</t>
        </is>
      </c>
      <c r="D4" t="inlineStr">
        <is>
          <t>LXA</t>
        </is>
      </c>
      <c r="E4" t="n">
        <v>1</v>
      </c>
      <c r="F4" t="inlineStr">
        <is>
          <t>Importado (EUA)</t>
        </is>
      </c>
      <c r="G4" s="3" t="n">
        <v>63100.8192</v>
      </c>
      <c r="H4" s="4" t="n"/>
      <c r="I4" s="5" t="n">
        <v>4.536</v>
      </c>
      <c r="J4" t="inlineStr">
        <is>
          <t>High</t>
        </is>
      </c>
      <c r="K4" t="inlineStr">
        <is>
          <t>90328990</t>
        </is>
      </c>
      <c r="M4" t="inlineStr"/>
    </row>
    <row r="5">
      <c r="A5" t="inlineStr">
        <is>
          <t>37495P</t>
        </is>
      </c>
      <c r="B5" t="inlineStr">
        <is>
          <t>KIT ETMS VIRGIN TRAINS FEC EVO44</t>
        </is>
      </c>
      <c r="C5" t="inlineStr">
        <is>
          <t>PTC</t>
        </is>
      </c>
      <c r="D5" t="inlineStr">
        <is>
          <t>PTC KIT MASTER</t>
        </is>
      </c>
      <c r="E5" t="n">
        <v>1</v>
      </c>
      <c r="F5" t="inlineStr">
        <is>
          <t>Importado (EUA)</t>
        </is>
      </c>
      <c r="G5" s="3" t="n">
        <v>28529</v>
      </c>
      <c r="H5" s="4" t="n"/>
      <c r="I5" s="5" t="n">
        <v>45.359</v>
      </c>
      <c r="J5" t="inlineStr">
        <is>
          <t>High</t>
        </is>
      </c>
      <c r="M5" t="inlineStr"/>
    </row>
    <row r="6">
      <c r="A6" t="inlineStr">
        <is>
          <t>84A222059P5</t>
        </is>
      </c>
      <c r="B6" t="inlineStr">
        <is>
          <t>BATTERIES</t>
        </is>
      </c>
      <c r="C6" t="inlineStr">
        <is>
          <t>Power</t>
        </is>
      </c>
      <c r="D6" t="inlineStr">
        <is>
          <t>POWER</t>
        </is>
      </c>
      <c r="E6" t="n">
        <v>2</v>
      </c>
      <c r="F6" t="inlineStr">
        <is>
          <t>Importado (EUA)</t>
        </is>
      </c>
      <c r="G6" s="3" t="n">
        <v>15685.42</v>
      </c>
      <c r="H6" s="4" t="n"/>
      <c r="I6" s="5" t="n">
        <v>1123.095</v>
      </c>
      <c r="J6" t="inlineStr">
        <is>
          <t>High</t>
        </is>
      </c>
      <c r="M6" t="inlineStr"/>
    </row>
    <row r="7">
      <c r="A7" t="inlineStr">
        <is>
          <t>41A296352LUG24</t>
        </is>
      </c>
      <c r="B7" t="inlineStr">
        <is>
          <t>CSX Antenna Enclosure Arrangement</t>
        </is>
      </c>
      <c r="C7" t="inlineStr">
        <is>
          <t>Connectivity</t>
        </is>
      </c>
      <c r="D7" t="inlineStr">
        <is>
          <t>ANTENNA KIT Master</t>
        </is>
      </c>
      <c r="E7" t="n">
        <v>1</v>
      </c>
      <c r="F7" t="inlineStr">
        <is>
          <t>Importado (EUA)</t>
        </is>
      </c>
      <c r="G7" s="3" t="n">
        <v>30000</v>
      </c>
      <c r="H7" s="4" t="n"/>
      <c r="I7" s="5" t="n">
        <v>136.078</v>
      </c>
      <c r="J7" t="inlineStr">
        <is>
          <t>High</t>
        </is>
      </c>
      <c r="M7" t="inlineStr"/>
    </row>
    <row r="8">
      <c r="A8" t="inlineStr">
        <is>
          <t>84A215295P62</t>
        </is>
      </c>
      <c r="B8" t="inlineStr">
        <is>
          <t>Pneumatic Brake Control System (Including lament and control portions) Includes EM EAB Control Functionality</t>
        </is>
      </c>
      <c r="C8" t="inlineStr">
        <is>
          <t>Air</t>
        </is>
      </c>
      <c r="D8" t="inlineStr">
        <is>
          <t>Fastbrake</t>
        </is>
      </c>
      <c r="E8" t="n">
        <v>1</v>
      </c>
      <c r="F8" t="inlineStr">
        <is>
          <t>Importado (EUA)</t>
        </is>
      </c>
      <c r="G8" s="3" t="n">
        <v>23409.1</v>
      </c>
      <c r="H8" s="4" t="n"/>
      <c r="I8" s="5" t="n">
        <v>134.263</v>
      </c>
      <c r="J8" t="inlineStr">
        <is>
          <t>High</t>
        </is>
      </c>
      <c r="M8" t="inlineStr"/>
    </row>
    <row r="9">
      <c r="A9" t="inlineStr">
        <is>
          <t>41A296352DNP37</t>
        </is>
      </c>
      <c r="B9" t="inlineStr">
        <is>
          <t>RADIO PRAD PTC RADIO</t>
        </is>
      </c>
      <c r="C9" t="inlineStr">
        <is>
          <t>PTC</t>
        </is>
      </c>
      <c r="D9" t="inlineStr">
        <is>
          <t>PTC</t>
        </is>
      </c>
      <c r="E9" t="n">
        <v>1</v>
      </c>
      <c r="F9" t="inlineStr">
        <is>
          <t>Importado (EUA)</t>
        </is>
      </c>
      <c r="G9" s="3" t="n">
        <v>20000</v>
      </c>
      <c r="H9" s="4" t="n"/>
      <c r="I9" s="5" t="n">
        <v>9.616</v>
      </c>
      <c r="J9" t="inlineStr">
        <is>
          <t>High</t>
        </is>
      </c>
      <c r="M9" t="inlineStr"/>
    </row>
    <row r="10">
      <c r="A10" t="inlineStr">
        <is>
          <t>17FM878A6</t>
        </is>
      </c>
      <c r="B10" t="inlineStr">
        <is>
          <t>NIO 2.0</t>
        </is>
      </c>
      <c r="C10" t="inlineStr">
        <is>
          <t>Controls (MCA, train control, er etc)</t>
        </is>
      </c>
      <c r="D10" t="inlineStr">
        <is>
          <t>MCA</t>
        </is>
      </c>
      <c r="E10" t="n">
        <v>3</v>
      </c>
      <c r="F10" t="inlineStr">
        <is>
          <t>Importado (EUA)</t>
        </is>
      </c>
      <c r="G10" s="3" t="n">
        <v>5176.9118</v>
      </c>
      <c r="H10" s="4" t="n"/>
      <c r="I10" s="5" t="n">
        <v>8.618</v>
      </c>
      <c r="J10" t="inlineStr">
        <is>
          <t>High</t>
        </is>
      </c>
      <c r="M10" t="inlineStr"/>
    </row>
    <row r="11">
      <c r="A11" t="inlineStr">
        <is>
          <t>L7000083-900</t>
        </is>
      </c>
      <c r="B11" t="inlineStr">
        <is>
          <t>Wireless Communications Management Module, Gen 3 (WCM3)​</t>
        </is>
      </c>
      <c r="C11" t="inlineStr">
        <is>
          <t>Controls (MCA, train control, er etc)</t>
        </is>
      </c>
      <c r="D11" t="inlineStr">
        <is>
          <t>TRAIN CONTROL</t>
        </is>
      </c>
      <c r="E11" t="n">
        <v>2</v>
      </c>
      <c r="F11" t="inlineStr">
        <is>
          <t>Importado (EUA)</t>
        </is>
      </c>
      <c r="G11" s="3" t="n">
        <v>5000</v>
      </c>
      <c r="H11" s="4" t="n"/>
      <c r="I11" s="5" t="n">
        <v>2.268</v>
      </c>
      <c r="J11" t="inlineStr">
        <is>
          <t>High</t>
        </is>
      </c>
      <c r="M11" t="inlineStr"/>
    </row>
    <row r="12">
      <c r="A12" t="inlineStr">
        <is>
          <t>84A237085AEP121</t>
        </is>
      </c>
      <c r="B12" t="inlineStr">
        <is>
          <t>8 Slot ACC Chassis for MCA w/ i7 HPEAP and SMM2 Cards</t>
        </is>
      </c>
      <c r="C12" t="inlineStr">
        <is>
          <t>Controls (MCA, train control, er etc)</t>
        </is>
      </c>
      <c r="D12" t="inlineStr">
        <is>
          <t>TRAIN CONTROL</t>
        </is>
      </c>
      <c r="E12" t="n">
        <v>1</v>
      </c>
      <c r="F12" t="inlineStr">
        <is>
          <t>Importado (EUA)</t>
        </is>
      </c>
      <c r="G12" s="3" t="n">
        <v>8000</v>
      </c>
      <c r="H12" s="4" t="n"/>
      <c r="I12" s="5" t="n">
        <v>9.071999999999999</v>
      </c>
      <c r="J12" t="inlineStr">
        <is>
          <t>High</t>
        </is>
      </c>
      <c r="M12" t="inlineStr"/>
    </row>
    <row r="13">
      <c r="A13" t="inlineStr">
        <is>
          <t>17FL472A2</t>
        </is>
      </c>
      <c r="B13" t="inlineStr">
        <is>
          <t>TMC PANEL</t>
        </is>
      </c>
      <c r="C13" t="inlineStr">
        <is>
          <t>SKID Assembly</t>
        </is>
      </c>
      <c r="D13" t="inlineStr">
        <is>
          <t>SKID (Skid)</t>
        </is>
      </c>
      <c r="E13" t="n">
        <v>1</v>
      </c>
      <c r="F13" t="inlineStr">
        <is>
          <t>PAC (Brasil, nacionalizado)</t>
        </is>
      </c>
      <c r="G13" s="3" t="n"/>
      <c r="H13" s="4" t="n">
        <v>58447.15211818</v>
      </c>
      <c r="I13" s="5" t="n">
        <v>20.412</v>
      </c>
      <c r="J13" t="inlineStr">
        <is>
          <t>High</t>
        </is>
      </c>
      <c r="K13" t="inlineStr">
        <is>
          <t>85371090</t>
        </is>
      </c>
      <c r="M13" t="inlineStr"/>
    </row>
    <row r="14">
      <c r="A14" t="inlineStr">
        <is>
          <t>17KC108E28</t>
        </is>
      </c>
      <c r="B14" t="inlineStr">
        <is>
          <t>MASTER CONTROLLER</t>
        </is>
      </c>
      <c r="C14" t="inlineStr">
        <is>
          <t>Controls (MCA, train control, er etc)</t>
        </is>
      </c>
      <c r="D14" t="inlineStr">
        <is>
          <t>TRAIN CONTROL</t>
        </is>
      </c>
      <c r="E14" t="n">
        <v>1</v>
      </c>
      <c r="F14" t="inlineStr">
        <is>
          <t>GET (fabricado internamente)</t>
        </is>
      </c>
      <c r="G14" s="3" t="n">
        <v>5877.102</v>
      </c>
      <c r="H14" s="4" t="n"/>
      <c r="I14" s="5" t="n">
        <v>25.855</v>
      </c>
      <c r="J14" t="inlineStr">
        <is>
          <t>High</t>
        </is>
      </c>
      <c r="M14" t="inlineStr"/>
    </row>
    <row r="15">
      <c r="A15" t="inlineStr">
        <is>
          <t>84A215295P73</t>
        </is>
      </c>
      <c r="B15" t="inlineStr">
        <is>
          <t>Air Brake Handle Assembly (AAR Console)</t>
        </is>
      </c>
      <c r="C15" t="inlineStr">
        <is>
          <t>Air</t>
        </is>
      </c>
      <c r="D15" t="inlineStr">
        <is>
          <t>Fastbrake</t>
        </is>
      </c>
      <c r="E15" t="n">
        <v>1</v>
      </c>
      <c r="F15" t="inlineStr">
        <is>
          <t>Importado (EUA)</t>
        </is>
      </c>
      <c r="G15" s="3" t="n">
        <v>5702.83</v>
      </c>
      <c r="H15" s="4" t="n"/>
      <c r="I15" s="5" t="n">
        <v>7.938</v>
      </c>
      <c r="J15" t="inlineStr">
        <is>
          <t>High</t>
        </is>
      </c>
      <c r="M15" t="inlineStr"/>
    </row>
    <row r="16">
      <c r="A16" t="inlineStr">
        <is>
          <t>17FM868B2</t>
        </is>
      </c>
      <c r="B16" t="inlineStr">
        <is>
          <t>SNIO</t>
        </is>
      </c>
      <c r="C16" t="inlineStr">
        <is>
          <t>Controls (MCA, train control, er etc)</t>
        </is>
      </c>
      <c r="D16" t="inlineStr">
        <is>
          <t>MCA</t>
        </is>
      </c>
      <c r="E16" t="n">
        <v>1</v>
      </c>
      <c r="F16" t="inlineStr">
        <is>
          <t>Importado (EUA)</t>
        </is>
      </c>
      <c r="G16" s="3" t="n">
        <v>4150.9559</v>
      </c>
      <c r="H16" s="4" t="n"/>
      <c r="I16" s="5" t="n">
        <v>4.99</v>
      </c>
      <c r="J16" t="inlineStr">
        <is>
          <t>High</t>
        </is>
      </c>
      <c r="M16" t="inlineStr"/>
    </row>
    <row r="17">
      <c r="A17" t="inlineStr">
        <is>
          <t>41A296352DNP55</t>
        </is>
      </c>
      <c r="B17" t="inlineStr">
        <is>
          <t>VOICE RADIO RITRON</t>
        </is>
      </c>
      <c r="C17" t="inlineStr">
        <is>
          <t>Connectivity</t>
        </is>
      </c>
      <c r="D17" t="inlineStr">
        <is>
          <t>VOICE RADIO</t>
        </is>
      </c>
      <c r="E17" t="n">
        <v>1</v>
      </c>
      <c r="F17" t="inlineStr">
        <is>
          <t>Importado (EUA)</t>
        </is>
      </c>
      <c r="G17" s="3" t="n">
        <v>3933</v>
      </c>
      <c r="H17" s="4" t="n"/>
      <c r="I17" s="5" t="n">
        <v>7.575</v>
      </c>
      <c r="J17" t="inlineStr">
        <is>
          <t>High</t>
        </is>
      </c>
      <c r="M17" t="inlineStr"/>
    </row>
    <row r="18">
      <c r="A18" t="inlineStr">
        <is>
          <t>32613P</t>
        </is>
      </c>
      <c r="B18" t="inlineStr">
        <is>
          <t>KIT ETMS AXLE INTERFACE FOR WPart Number 29266P</t>
        </is>
      </c>
      <c r="C18" t="inlineStr">
        <is>
          <t>PTC</t>
        </is>
      </c>
      <c r="D18" t="inlineStr">
        <is>
          <t>PTC</t>
        </is>
      </c>
      <c r="E18" t="n">
        <v>1</v>
      </c>
      <c r="F18" t="inlineStr">
        <is>
          <t>Importado (EUA)</t>
        </is>
      </c>
      <c r="G18" s="3" t="n">
        <v>2981.71</v>
      </c>
      <c r="H18" s="4" t="n"/>
      <c r="I18" s="5" t="n">
        <v>4.536</v>
      </c>
      <c r="J18" t="inlineStr">
        <is>
          <t>High</t>
        </is>
      </c>
      <c r="M18" t="inlineStr"/>
    </row>
    <row r="19">
      <c r="A19" t="inlineStr">
        <is>
          <t>17FH40X1</t>
        </is>
      </c>
      <c r="B19" t="inlineStr">
        <is>
          <t>LPS 17FH40 (COMMON LOGIC POWER SUPPLY) (5v, 15v, 19v, 24v)</t>
        </is>
      </c>
      <c r="C19" t="inlineStr">
        <is>
          <t>POWER</t>
        </is>
      </c>
      <c r="D19" t="inlineStr">
        <is>
          <t>POWER SUPPLY</t>
        </is>
      </c>
      <c r="E19" t="n">
        <v>1</v>
      </c>
      <c r="F19" t="inlineStr">
        <is>
          <t>PAC (Brasil, nacionalizado)</t>
        </is>
      </c>
      <c r="G19" s="3" t="n"/>
      <c r="H19" s="4" t="n">
        <v>15041.53990717839</v>
      </c>
      <c r="I19" s="5" t="n">
        <v>18.144</v>
      </c>
      <c r="J19" t="inlineStr">
        <is>
          <t>High</t>
        </is>
      </c>
      <c r="K19" t="inlineStr">
        <is>
          <t>85044029</t>
        </is>
      </c>
      <c r="L19" t="inlineStr">
        <is>
          <t>24x10x20</t>
        </is>
      </c>
      <c r="M19" t="inlineStr"/>
    </row>
    <row r="20">
      <c r="A20" t="inlineStr">
        <is>
          <t>41D758679BJG16 	84D704379AFG1</t>
        </is>
      </c>
      <c r="B20" t="inlineStr">
        <is>
          <t>EC Part NumberL ASM</t>
        </is>
      </c>
      <c r="C20" t="inlineStr">
        <is>
          <t>Power</t>
        </is>
      </c>
      <c r="D20" t="inlineStr">
        <is>
          <t>Circuit Breaker</t>
        </is>
      </c>
      <c r="E20" t="n">
        <v>1</v>
      </c>
      <c r="F20" t="inlineStr">
        <is>
          <t>GET (fabricado internamente)</t>
        </is>
      </c>
      <c r="G20" s="3" t="n">
        <v>1572.36</v>
      </c>
      <c r="H20" s="4" t="n"/>
      <c r="I20" s="5" t="n">
        <v>4.99</v>
      </c>
      <c r="J20" t="inlineStr">
        <is>
          <t>High</t>
        </is>
      </c>
      <c r="K20" t="inlineStr">
        <is>
          <t>86079100</t>
        </is>
      </c>
      <c r="L20" t="inlineStr">
        <is>
          <t>20x3.5x25.5</t>
        </is>
      </c>
      <c r="M20" t="inlineStr"/>
    </row>
    <row r="21">
      <c r="A21" t="inlineStr">
        <is>
          <t>41B546155P2</t>
        </is>
      </c>
      <c r="B21" t="inlineStr">
        <is>
          <t>Horn</t>
        </is>
      </c>
      <c r="C21" t="inlineStr">
        <is>
          <t>Controls (MCA, train control, er etc)</t>
        </is>
      </c>
      <c r="D21" t="inlineStr">
        <is>
          <t>TRAIN CONTROL</t>
        </is>
      </c>
      <c r="E21" t="n">
        <v>1</v>
      </c>
      <c r="F21" t="inlineStr">
        <is>
          <t>Importado (EUA)</t>
        </is>
      </c>
      <c r="G21" s="3" t="n">
        <v>1891.99</v>
      </c>
      <c r="H21" s="4" t="n"/>
      <c r="I21" s="5" t="n">
        <v>4.536</v>
      </c>
      <c r="J21" t="inlineStr">
        <is>
          <t>High</t>
        </is>
      </c>
      <c r="M21" t="inlineStr"/>
    </row>
    <row r="22">
      <c r="B22" t="inlineStr">
        <is>
          <t>Ditchlight Control Box (SMART BOX-V3-DLC )</t>
        </is>
      </c>
      <c r="C22" t="inlineStr">
        <is>
          <t>Controls (MCA, train control, er etc)</t>
        </is>
      </c>
      <c r="D22" t="inlineStr">
        <is>
          <t>TRAIN CONTROL</t>
        </is>
      </c>
      <c r="E22" t="n">
        <v>2</v>
      </c>
      <c r="F22" t="inlineStr">
        <is>
          <t>Importado (EUA)</t>
        </is>
      </c>
      <c r="G22" s="3" t="n">
        <v>800</v>
      </c>
      <c r="H22" s="4" t="n"/>
      <c r="I22" s="5" t="n">
        <v>2.268</v>
      </c>
      <c r="J22" t="inlineStr">
        <is>
          <t>High</t>
        </is>
      </c>
      <c r="M22" t="inlineStr"/>
    </row>
    <row r="23">
      <c r="B23" t="inlineStr">
        <is>
          <t>LED Ditch Light</t>
        </is>
      </c>
      <c r="C23" t="inlineStr">
        <is>
          <t>Controls (MCA, train control, er etc)</t>
        </is>
      </c>
      <c r="D23" t="inlineStr">
        <is>
          <t>TRAIN CONTROL</t>
        </is>
      </c>
      <c r="E23" t="n">
        <v>4</v>
      </c>
      <c r="F23" t="inlineStr">
        <is>
          <t>Importado (EUA)</t>
        </is>
      </c>
      <c r="G23" s="3" t="n">
        <v>375</v>
      </c>
      <c r="H23" s="4" t="n"/>
      <c r="I23" s="5" t="n">
        <v>0.907</v>
      </c>
      <c r="J23" t="inlineStr">
        <is>
          <t>High</t>
        </is>
      </c>
      <c r="M23" t="inlineStr"/>
    </row>
    <row r="24">
      <c r="A24" t="inlineStr">
        <is>
          <t>17FM839B1</t>
        </is>
      </c>
      <c r="B24" t="inlineStr">
        <is>
          <t>PANEL ASM CFD - Thin Client Display</t>
        </is>
      </c>
      <c r="C24" t="inlineStr">
        <is>
          <t>Controls (MCA, train control, er etc)</t>
        </is>
      </c>
      <c r="D24" t="inlineStr">
        <is>
          <t>MCA</t>
        </is>
      </c>
      <c r="E24" t="n">
        <v>1</v>
      </c>
      <c r="F24" t="inlineStr">
        <is>
          <t>PAC (Brasil, nacionalizado)</t>
        </is>
      </c>
      <c r="G24" s="3" t="n"/>
      <c r="H24" s="4" t="n">
        <v>11603.7169581856</v>
      </c>
      <c r="I24" s="5" t="n">
        <v>9.298999999999999</v>
      </c>
      <c r="J24" t="inlineStr">
        <is>
          <t>High</t>
        </is>
      </c>
      <c r="K24" t="inlineStr">
        <is>
          <t>85312000</t>
        </is>
      </c>
      <c r="L24" t="inlineStr">
        <is>
          <t>18.5x8.5x15</t>
        </is>
      </c>
      <c r="M24" t="inlineStr"/>
    </row>
    <row r="25">
      <c r="A25" t="inlineStr">
        <is>
          <t>17FM839A3</t>
        </is>
      </c>
      <c r="B25" t="inlineStr">
        <is>
          <t>TCD (Thin Client Display)</t>
        </is>
      </c>
      <c r="C25" t="inlineStr">
        <is>
          <t>SKID Assembly</t>
        </is>
      </c>
      <c r="D25" t="inlineStr">
        <is>
          <t>SKID (Skid)</t>
        </is>
      </c>
      <c r="E25" t="n">
        <v>1</v>
      </c>
      <c r="F25" t="inlineStr">
        <is>
          <t>PAC (Brasil, nacionalizado)</t>
        </is>
      </c>
      <c r="G25" s="3" t="n"/>
      <c r="H25" s="4" t="n">
        <v>11603.7169581856</v>
      </c>
      <c r="I25" s="5" t="n">
        <v>9.298999999999999</v>
      </c>
      <c r="J25" t="inlineStr">
        <is>
          <t>High</t>
        </is>
      </c>
      <c r="K25" t="inlineStr">
        <is>
          <t>85312000</t>
        </is>
      </c>
      <c r="L25" t="inlineStr">
        <is>
          <t>18.5x8.5x15</t>
        </is>
      </c>
      <c r="M25" t="inlineStr"/>
    </row>
    <row r="26">
      <c r="A26" t="inlineStr">
        <is>
          <t>84A201003DAP1</t>
        </is>
      </c>
      <c r="B26" t="inlineStr">
        <is>
          <t>ELECTRIC Bell</t>
        </is>
      </c>
      <c r="C26" t="inlineStr">
        <is>
          <t>Controls (MCA, train control, er etc)</t>
        </is>
      </c>
      <c r="D26" t="inlineStr">
        <is>
          <t>TRAIN CONTROL</t>
        </is>
      </c>
      <c r="E26" t="n">
        <v>1</v>
      </c>
      <c r="F26" t="inlineStr">
        <is>
          <t>PAC (Brasil, nacionalizado)</t>
        </is>
      </c>
      <c r="G26" s="3" t="n"/>
      <c r="H26" s="4" t="n">
        <v>9491.457082650917</v>
      </c>
      <c r="I26" s="5" t="n">
        <v>8.119</v>
      </c>
      <c r="J26" t="inlineStr">
        <is>
          <t>High</t>
        </is>
      </c>
      <c r="K26" t="inlineStr">
        <is>
          <t>85318000</t>
        </is>
      </c>
      <c r="L26" t="inlineStr">
        <is>
          <t>14.25x14.25x10</t>
        </is>
      </c>
      <c r="M26" t="inlineStr"/>
    </row>
    <row r="27">
      <c r="A27" t="inlineStr">
        <is>
          <t>17FB193E2F</t>
        </is>
      </c>
      <c r="B27" t="inlineStr">
        <is>
          <t>GET Card</t>
        </is>
      </c>
      <c r="C27" t="inlineStr">
        <is>
          <t>GET</t>
        </is>
      </c>
      <c r="D27" t="inlineStr">
        <is>
          <t>GET Card</t>
        </is>
      </c>
      <c r="E27" t="n">
        <v>1</v>
      </c>
      <c r="F27" t="inlineStr">
        <is>
          <t>PAC (Brasil, nacionalizado)</t>
        </is>
      </c>
      <c r="G27" s="3" t="n"/>
      <c r="H27" s="4" t="n">
        <v>9251.123897523161</v>
      </c>
      <c r="I27" s="5" t="n">
        <v>1.114</v>
      </c>
      <c r="J27" t="inlineStr">
        <is>
          <t>High</t>
        </is>
      </c>
      <c r="K27" t="inlineStr">
        <is>
          <t>85049040</t>
        </is>
      </c>
      <c r="L27" t="inlineStr">
        <is>
          <t>17.2x1.95x11.2</t>
        </is>
      </c>
      <c r="M27" t="inlineStr"/>
    </row>
    <row r="28">
      <c r="A28" t="inlineStr">
        <is>
          <t>84A215295P3</t>
        </is>
      </c>
      <c r="B28" t="inlineStr">
        <is>
          <t>POU-to-Handle cable 18' length</t>
        </is>
      </c>
      <c r="C28" t="inlineStr">
        <is>
          <t>Air</t>
        </is>
      </c>
      <c r="D28" t="inlineStr">
        <is>
          <t>Fastbrake</t>
        </is>
      </c>
      <c r="E28" t="n">
        <v>1</v>
      </c>
      <c r="F28" t="inlineStr">
        <is>
          <t>Importado (EUA)</t>
        </is>
      </c>
      <c r="G28" s="3" t="n">
        <v>1036.89</v>
      </c>
      <c r="H28" s="4" t="n"/>
      <c r="I28" s="5" t="n">
        <v>1.247</v>
      </c>
      <c r="J28" t="inlineStr">
        <is>
          <t>Medium</t>
        </is>
      </c>
      <c r="M28" t="inlineStr"/>
    </row>
    <row r="29">
      <c r="A29" t="inlineStr">
        <is>
          <t>41B566322ACG1</t>
        </is>
      </c>
      <c r="B29" t="inlineStr">
        <is>
          <t>TRAINLINE RESISTOR PANEL</t>
        </is>
      </c>
      <c r="C29" t="inlineStr">
        <is>
          <t>SKID Assembly</t>
        </is>
      </c>
      <c r="D29" t="inlineStr">
        <is>
          <t>Controls (MCA, train control, er etc)</t>
        </is>
      </c>
      <c r="E29" t="n">
        <v>1</v>
      </c>
      <c r="F29" t="inlineStr">
        <is>
          <t>GET (fabricado internamente)</t>
        </is>
      </c>
      <c r="G29" s="3" t="n"/>
      <c r="H29" s="4" t="n"/>
      <c r="I29" s="5" t="n">
        <v>2.859</v>
      </c>
      <c r="J29" t="inlineStr">
        <is>
          <t>High</t>
        </is>
      </c>
      <c r="K29" t="inlineStr">
        <is>
          <t>85333990</t>
        </is>
      </c>
      <c r="L29" t="inlineStr">
        <is>
          <t>14x6x8.5</t>
        </is>
      </c>
      <c r="M29" t="inlineStr"/>
    </row>
    <row r="30">
      <c r="A30" t="inlineStr">
        <is>
          <t>41A296304DDP4</t>
        </is>
      </c>
      <c r="B30" t="inlineStr">
        <is>
          <t>G-RECTIFIER POWER BLOCK</t>
        </is>
      </c>
      <c r="C30" t="inlineStr">
        <is>
          <t>SKID Assembly</t>
        </is>
      </c>
      <c r="D30" t="inlineStr">
        <is>
          <t>Controls (MCA, train control, er etc)</t>
        </is>
      </c>
      <c r="E30" t="n">
        <v>20</v>
      </c>
      <c r="F30" t="inlineStr">
        <is>
          <t>PAC (Brasil, nacionalizado)</t>
        </is>
      </c>
      <c r="G30" s="3" t="n"/>
      <c r="H30" s="4" t="n">
        <v>326.2230055294123</v>
      </c>
      <c r="I30" s="5" t="n">
        <v>0.054</v>
      </c>
      <c r="J30" t="inlineStr">
        <is>
          <t>Low</t>
        </is>
      </c>
      <c r="K30" t="inlineStr">
        <is>
          <t>85411099</t>
        </is>
      </c>
      <c r="L30" t="inlineStr">
        <is>
          <t>10.85x1.1x8.5</t>
        </is>
      </c>
      <c r="M30" t="inlineStr">
        <is>
          <t>Peso suspeito, verificar</t>
        </is>
      </c>
    </row>
    <row r="31">
      <c r="A31" t="inlineStr">
        <is>
          <t>RCCR-RMTCBL-RA-CUSTOM</t>
        </is>
      </c>
      <c r="B31" t="inlineStr">
        <is>
          <t>VOICE RADIO RITRON CABLE,REMOTE,RR-225/XXX, RCCR,RIGHT
ANGLE,19-PIN,FLAME RETARDANT</t>
        </is>
      </c>
      <c r="C31" t="inlineStr">
        <is>
          <t>Connectivity</t>
        </is>
      </c>
      <c r="D31" t="inlineStr">
        <is>
          <t>VOICE RADIO</t>
        </is>
      </c>
      <c r="E31" t="n">
        <v>1</v>
      </c>
      <c r="F31" t="inlineStr">
        <is>
          <t>Importado (EUA)</t>
        </is>
      </c>
      <c r="G31" s="3" t="n">
        <v>761</v>
      </c>
      <c r="H31" s="4" t="n"/>
      <c r="M31" t="inlineStr"/>
    </row>
    <row r="32">
      <c r="A32" t="inlineStr">
        <is>
          <t>41C663693G1</t>
        </is>
      </c>
      <c r="B32" t="inlineStr">
        <is>
          <t>PANEL CPF</t>
        </is>
      </c>
      <c r="C32" t="inlineStr">
        <is>
          <t>Power</t>
        </is>
      </c>
      <c r="D32" t="inlineStr">
        <is>
          <t>POWER</t>
        </is>
      </c>
      <c r="E32" t="n">
        <v>1</v>
      </c>
      <c r="F32" t="inlineStr">
        <is>
          <t>GET (fabricado internamente)</t>
        </is>
      </c>
      <c r="G32" s="3" t="n"/>
      <c r="H32" s="4" t="n"/>
      <c r="I32" s="5" t="n">
        <v>5.761</v>
      </c>
      <c r="J32" t="inlineStr">
        <is>
          <t>High</t>
        </is>
      </c>
      <c r="K32" t="inlineStr">
        <is>
          <t>85371090</t>
        </is>
      </c>
      <c r="L32" t="inlineStr">
        <is>
          <t>20.5x10.5x11.5</t>
        </is>
      </c>
      <c r="M32" t="inlineStr"/>
    </row>
    <row r="33">
      <c r="A33" t="inlineStr">
        <is>
          <t>41A296352PTP306/41A296352PTP122</t>
        </is>
      </c>
      <c r="B33" t="inlineStr">
        <is>
          <t>Assembled Air Manifold (Contains 3 pressure sensors mounted in appropriate locations on Air Manifold.)</t>
        </is>
      </c>
      <c r="C33" t="inlineStr">
        <is>
          <t>PTC</t>
        </is>
      </c>
      <c r="D33" t="inlineStr">
        <is>
          <t>PTC</t>
        </is>
      </c>
      <c r="E33" t="n">
        <v>1</v>
      </c>
      <c r="F33" t="inlineStr">
        <is>
          <t>Importado (EUA)</t>
        </is>
      </c>
      <c r="G33" s="3" t="n">
        <v>595.7889</v>
      </c>
      <c r="H33" s="4" t="n"/>
      <c r="I33" s="5" t="n">
        <v>5.897</v>
      </c>
      <c r="J33" t="inlineStr">
        <is>
          <t>Medium</t>
        </is>
      </c>
      <c r="K33" t="inlineStr">
        <is>
          <t>85381000</t>
        </is>
      </c>
      <c r="M33" t="inlineStr"/>
    </row>
    <row r="34">
      <c r="A34" t="inlineStr">
        <is>
          <t>84A232147P1</t>
        </is>
      </c>
      <c r="B34" t="inlineStr">
        <is>
          <t>KNOB HLD DWN with washer and screw</t>
        </is>
      </c>
      <c r="C34" t="inlineStr">
        <is>
          <t>Controls (MCA, train control, er etc)</t>
        </is>
      </c>
      <c r="D34" t="inlineStr">
        <is>
          <t>TRAIN CONTROL</t>
        </is>
      </c>
      <c r="E34" t="n">
        <v>30</v>
      </c>
      <c r="F34" t="inlineStr">
        <is>
          <t>PAC (Brasil, nacionalizado)</t>
        </is>
      </c>
      <c r="G34" s="3" t="n"/>
      <c r="H34" s="4" t="n">
        <v>127.4757723945537</v>
      </c>
      <c r="I34" s="5" t="n">
        <v>0.045</v>
      </c>
      <c r="J34" t="inlineStr">
        <is>
          <t>High</t>
        </is>
      </c>
      <c r="K34" t="inlineStr">
        <is>
          <t>83024900</t>
        </is>
      </c>
      <c r="L34" t="inlineStr">
        <is>
          <t>3.5x0.75x0.75</t>
        </is>
      </c>
      <c r="M34" t="inlineStr"/>
    </row>
    <row r="35">
      <c r="A35" t="inlineStr">
        <is>
          <t>32447P</t>
        </is>
      </c>
      <c r="B35" t="inlineStr">
        <is>
          <t>ASY CABLE WHEEL TACH AC EVO/SD70 ACE</t>
        </is>
      </c>
      <c r="C35" t="inlineStr">
        <is>
          <t>PTC</t>
        </is>
      </c>
      <c r="D35" t="inlineStr">
        <is>
          <t>PTC</t>
        </is>
      </c>
      <c r="E35" t="n">
        <v>1</v>
      </c>
      <c r="F35" t="inlineStr">
        <is>
          <t>Importado (EUA)</t>
        </is>
      </c>
      <c r="G35" s="3" t="n">
        <v>411.22</v>
      </c>
      <c r="H35" s="4" t="n"/>
      <c r="M35" t="inlineStr"/>
    </row>
    <row r="36">
      <c r="A36" t="inlineStr">
        <is>
          <t>41A296352PTP10/319/34</t>
        </is>
      </c>
      <c r="B36" t="inlineStr">
        <is>
          <t>VALVE Part NumberEUMATIC NC/CO (Penalty Magnet Valve) Graham-White 812-142</t>
        </is>
      </c>
      <c r="C36" t="inlineStr">
        <is>
          <t>PTC</t>
        </is>
      </c>
      <c r="D36" t="inlineStr">
        <is>
          <t>PTC</t>
        </is>
      </c>
      <c r="E36" t="n">
        <v>1</v>
      </c>
      <c r="F36" t="inlineStr">
        <is>
          <t>Importado (EUA)</t>
        </is>
      </c>
      <c r="G36" s="3" t="n">
        <v>404.6239</v>
      </c>
      <c r="H36" s="4" t="n"/>
      <c r="M36" t="inlineStr"/>
    </row>
    <row r="37">
      <c r="A37" t="inlineStr">
        <is>
          <t>84A201176P1</t>
        </is>
      </c>
      <c r="B37" t="inlineStr">
        <is>
          <t>Pathfinder Control Unit Connector (MU Plug)</t>
        </is>
      </c>
      <c r="C37" t="inlineStr">
        <is>
          <t>Controls (MCA, train control, er etc)</t>
        </is>
      </c>
      <c r="D37" t="inlineStr">
        <is>
          <t>TRAIN CONTROL</t>
        </is>
      </c>
      <c r="E37" t="n">
        <v>2</v>
      </c>
      <c r="F37" t="inlineStr">
        <is>
          <t>PAC (Brasil, nacionalizado)</t>
        </is>
      </c>
      <c r="G37" s="3" t="n"/>
      <c r="H37" s="4" t="n">
        <v>1480.863670329737</v>
      </c>
      <c r="I37" s="5" t="n">
        <v>2.404</v>
      </c>
      <c r="J37" t="inlineStr">
        <is>
          <t>High</t>
        </is>
      </c>
      <c r="K37" t="inlineStr">
        <is>
          <t>85366990</t>
        </is>
      </c>
      <c r="L37" t="inlineStr">
        <is>
          <t>7x4x7</t>
        </is>
      </c>
      <c r="M37" t="inlineStr"/>
    </row>
    <row r="38">
      <c r="A38" t="inlineStr">
        <is>
          <t>84A201150ACP2</t>
        </is>
      </c>
      <c r="B38" t="inlineStr">
        <is>
          <t>CROSSING BELL PUSH BUTTON
SWITCH</t>
        </is>
      </c>
      <c r="C38" t="inlineStr">
        <is>
          <t>Controls (MCA, train control, er etc)</t>
        </is>
      </c>
      <c r="D38" t="inlineStr">
        <is>
          <t>TRAIN CONTROL</t>
        </is>
      </c>
      <c r="E38" t="n">
        <v>1</v>
      </c>
      <c r="F38" t="inlineStr">
        <is>
          <t>PAC (Brasil, nacionalizado)</t>
        </is>
      </c>
      <c r="G38" s="3" t="n"/>
      <c r="H38" s="4" t="n">
        <v>2843.376868605715</v>
      </c>
      <c r="I38" s="5" t="n">
        <v>0.411</v>
      </c>
      <c r="J38" t="inlineStr">
        <is>
          <t>High</t>
        </is>
      </c>
      <c r="K38" t="inlineStr">
        <is>
          <t>85365090</t>
        </is>
      </c>
      <c r="L38" t="inlineStr">
        <is>
          <t>11.8x6.4x8.05</t>
        </is>
      </c>
      <c r="M38" t="inlineStr"/>
    </row>
    <row r="39">
      <c r="A39" t="inlineStr">
        <is>
          <t>17FH37A6</t>
        </is>
      </c>
      <c r="B39" t="inlineStr">
        <is>
          <t>RPS Power Panel - Radio Power Supply - 15V</t>
        </is>
      </c>
      <c r="C39" t="inlineStr">
        <is>
          <t>Controls (MCA, train control, er etc)</t>
        </is>
      </c>
      <c r="D39" t="inlineStr">
        <is>
          <t>MCA</t>
        </is>
      </c>
      <c r="E39" t="n">
        <v>1</v>
      </c>
      <c r="F39" t="inlineStr">
        <is>
          <t>PAC (Brasil, nacionalizado)</t>
        </is>
      </c>
      <c r="G39" s="3" t="n"/>
      <c r="H39" s="4" t="n">
        <v>2534.886672428763</v>
      </c>
      <c r="I39" s="5" t="n">
        <v>4.247</v>
      </c>
      <c r="J39" t="inlineStr">
        <is>
          <t>High</t>
        </is>
      </c>
      <c r="K39" t="inlineStr">
        <is>
          <t>85044030</t>
        </is>
      </c>
      <c r="L39" t="inlineStr">
        <is>
          <t>12.8x3.8x9.5</t>
        </is>
      </c>
      <c r="M39" t="inlineStr"/>
    </row>
    <row r="40">
      <c r="A40" t="inlineStr">
        <is>
          <t>41A240644P2</t>
        </is>
      </c>
      <c r="B40" t="inlineStr">
        <is>
          <t>HORN MAGNET VALVE</t>
        </is>
      </c>
      <c r="C40" t="inlineStr">
        <is>
          <t>Controls (MCA, train control, er etc)</t>
        </is>
      </c>
      <c r="D40" t="inlineStr">
        <is>
          <t>TRAIN CONTROL</t>
        </is>
      </c>
      <c r="E40" t="n">
        <v>1</v>
      </c>
      <c r="F40" t="inlineStr">
        <is>
          <t>PAC (Brasil, nacionalizado)</t>
        </is>
      </c>
      <c r="G40" s="3" t="n"/>
      <c r="H40" s="4" t="n">
        <v>2382.374748689938</v>
      </c>
      <c r="I40" s="5" t="n">
        <v>3.629</v>
      </c>
      <c r="J40" t="inlineStr">
        <is>
          <t>High</t>
        </is>
      </c>
      <c r="K40" t="inlineStr">
        <is>
          <t>84812090</t>
        </is>
      </c>
      <c r="L40" t="inlineStr">
        <is>
          <t>8.4x3.35x7.5</t>
        </is>
      </c>
      <c r="M40" t="inlineStr"/>
    </row>
    <row r="41">
      <c r="A41" t="inlineStr">
        <is>
          <t>41A296352CMP387</t>
        </is>
      </c>
      <c r="B41" t="inlineStr">
        <is>
          <t>ETHERNET CABLE</t>
        </is>
      </c>
      <c r="C41" t="inlineStr">
        <is>
          <t>Controls (MCA, train control, er etc)</t>
        </is>
      </c>
      <c r="D41" t="inlineStr">
        <is>
          <t>MCA</t>
        </is>
      </c>
      <c r="E41" t="n">
        <v>1</v>
      </c>
      <c r="F41" t="inlineStr">
        <is>
          <t>PAC (Brasil, nacionalizado)</t>
        </is>
      </c>
      <c r="G41" s="3" t="n"/>
      <c r="H41" s="4" t="n">
        <v>2132.24431804</v>
      </c>
      <c r="I41" s="5" t="n">
        <v>0.227</v>
      </c>
      <c r="J41" t="inlineStr">
        <is>
          <t>High</t>
        </is>
      </c>
      <c r="K41" t="inlineStr">
        <is>
          <t>85444200</t>
        </is>
      </c>
      <c r="L41" t="inlineStr">
        <is>
          <t>0x0x0</t>
        </is>
      </c>
      <c r="M41" t="inlineStr"/>
    </row>
    <row r="42">
      <c r="A42" t="inlineStr">
        <is>
          <t>41B511393P2</t>
        </is>
      </c>
      <c r="B42" t="inlineStr">
        <is>
          <t>Battery Knife Switch</t>
        </is>
      </c>
      <c r="C42" t="inlineStr">
        <is>
          <t>Power</t>
        </is>
      </c>
      <c r="D42" t="inlineStr">
        <is>
          <t>POWER</t>
        </is>
      </c>
      <c r="E42" t="n">
        <v>1</v>
      </c>
      <c r="F42" t="inlineStr">
        <is>
          <t>PAC (Brasil, nacionalizado)</t>
        </is>
      </c>
      <c r="G42" s="3" t="n"/>
      <c r="H42" s="4" t="n">
        <v>1794.802418041144</v>
      </c>
      <c r="I42" s="5" t="n">
        <v>4.445</v>
      </c>
      <c r="J42" t="inlineStr">
        <is>
          <t>High</t>
        </is>
      </c>
      <c r="K42" t="inlineStr">
        <is>
          <t>85365090</t>
        </is>
      </c>
      <c r="L42" t="inlineStr">
        <is>
          <t>13.5x5.25x7</t>
        </is>
      </c>
      <c r="M42" t="inlineStr"/>
    </row>
    <row r="43">
      <c r="A43" t="inlineStr">
        <is>
          <t>84A231123CSP30</t>
        </is>
      </c>
      <c r="B43" t="inlineStr">
        <is>
          <t>Axle Tac - WRE Part Number: 29266P</t>
        </is>
      </c>
      <c r="C43" t="inlineStr">
        <is>
          <t>PTC</t>
        </is>
      </c>
      <c r="D43" t="inlineStr">
        <is>
          <t>PTC</t>
        </is>
      </c>
      <c r="E43" t="n">
        <v>1</v>
      </c>
      <c r="F43" t="inlineStr">
        <is>
          <t>Importado (EUA)</t>
        </is>
      </c>
      <c r="G43" s="3" t="n">
        <v>205</v>
      </c>
      <c r="H43" s="4" t="n"/>
      <c r="M43" t="inlineStr"/>
    </row>
    <row r="44">
      <c r="A44" t="inlineStr">
        <is>
          <t>84A207079ABP1</t>
        </is>
      </c>
      <c r="B44" t="inlineStr">
        <is>
          <t>41A313392DCP18 alternative 300" /</t>
        </is>
      </c>
      <c r="C44" t="inlineStr">
        <is>
          <t>Controls (MCA, train control, er etc)</t>
        </is>
      </c>
      <c r="D44" t="inlineStr">
        <is>
          <t>Wiring</t>
        </is>
      </c>
      <c r="E44" t="n">
        <v>25</v>
      </c>
      <c r="F44" t="inlineStr">
        <is>
          <t>Importado (EUA)</t>
        </is>
      </c>
      <c r="G44" s="3" t="n">
        <v>8.118</v>
      </c>
      <c r="H44" s="4" t="n"/>
      <c r="I44" s="5" t="n">
        <v>0.227</v>
      </c>
      <c r="J44" t="inlineStr">
        <is>
          <t>High</t>
        </is>
      </c>
      <c r="K44" t="inlineStr">
        <is>
          <t>85446000</t>
        </is>
      </c>
      <c r="L44" t="inlineStr">
        <is>
          <t>24x20x24</t>
        </is>
      </c>
      <c r="M44" t="inlineStr"/>
    </row>
    <row r="45">
      <c r="A45" t="inlineStr">
        <is>
          <t>84A201850P4</t>
        </is>
      </c>
      <c r="B45" t="inlineStr">
        <is>
          <t>ENGINE CONTROL SWITCH</t>
        </is>
      </c>
      <c r="C45" t="inlineStr">
        <is>
          <t>Controls (MCA, train control, er etc)</t>
        </is>
      </c>
      <c r="D45" t="inlineStr">
        <is>
          <t>TRAIN CONTROL</t>
        </is>
      </c>
      <c r="E45" t="n">
        <v>1</v>
      </c>
      <c r="F45" t="inlineStr">
        <is>
          <t>Importado (EUA)</t>
        </is>
      </c>
      <c r="G45" s="3" t="n">
        <v>171.544</v>
      </c>
      <c r="H45" s="4" t="n"/>
      <c r="M45" t="inlineStr"/>
    </row>
    <row r="46">
      <c r="A46" t="inlineStr">
        <is>
          <t>RCCR-PWRCBL</t>
        </is>
      </c>
      <c r="B46" t="inlineStr">
        <is>
          <t>CABLE, PWR, 72V,RA,6.5FT (78").,RR-070,RCCR</t>
        </is>
      </c>
      <c r="C46" t="inlineStr">
        <is>
          <t>Connectivity</t>
        </is>
      </c>
      <c r="D46" t="inlineStr">
        <is>
          <t>VOICE RADIO</t>
        </is>
      </c>
      <c r="E46" t="n">
        <v>1</v>
      </c>
      <c r="F46" t="inlineStr">
        <is>
          <t>Importado (EUA)</t>
        </is>
      </c>
      <c r="G46" s="3" t="n">
        <v>159</v>
      </c>
      <c r="H46" s="4" t="n"/>
      <c r="M46" t="inlineStr"/>
    </row>
    <row r="47">
      <c r="A47" t="inlineStr">
        <is>
          <t>41A216641P158</t>
        </is>
      </c>
      <c r="B47" t="inlineStr">
        <is>
          <t>SNIO CONNECTOR 3</t>
        </is>
      </c>
      <c r="C47" t="inlineStr">
        <is>
          <t>Controls (MCA, train control, er etc)</t>
        </is>
      </c>
      <c r="D47" t="inlineStr">
        <is>
          <t>Wiring</t>
        </is>
      </c>
      <c r="E47" t="n">
        <v>2</v>
      </c>
      <c r="F47" t="inlineStr">
        <is>
          <t>PAC (Brasil, nacionalizado)</t>
        </is>
      </c>
      <c r="G47" s="3" t="n"/>
      <c r="H47" s="4" t="n">
        <v>649.5972609459074</v>
      </c>
      <c r="I47" s="5" t="n">
        <v>0.091</v>
      </c>
      <c r="J47" t="inlineStr">
        <is>
          <t>High</t>
        </is>
      </c>
      <c r="K47" t="inlineStr">
        <is>
          <t>85366990</t>
        </is>
      </c>
      <c r="L47" t="inlineStr">
        <is>
          <t>3x2x3</t>
        </is>
      </c>
      <c r="M47" t="inlineStr"/>
    </row>
    <row r="48">
      <c r="A48" t="inlineStr">
        <is>
          <t>41B546301P4</t>
        </is>
      </c>
      <c r="B48" t="inlineStr">
        <is>
          <t>DOOR INTERLOCK SWITCH</t>
        </is>
      </c>
      <c r="C48" t="inlineStr">
        <is>
          <t>Controls (MCA, train control, er etc)</t>
        </is>
      </c>
      <c r="D48" t="inlineStr">
        <is>
          <t>TRAIN CONTROL</t>
        </is>
      </c>
      <c r="E48" t="n">
        <v>1</v>
      </c>
      <c r="F48" t="inlineStr">
        <is>
          <t>PAC (Brasil, nacionalizado)</t>
        </is>
      </c>
      <c r="G48" s="3" t="n"/>
      <c r="H48" s="4" t="n">
        <v>1282.454710102509</v>
      </c>
      <c r="I48" s="5" t="n">
        <v>0.966</v>
      </c>
      <c r="J48" t="inlineStr">
        <is>
          <t>High</t>
        </is>
      </c>
      <c r="K48" t="inlineStr">
        <is>
          <t>85365090</t>
        </is>
      </c>
      <c r="L48" t="inlineStr">
        <is>
          <t>6x2.25x3</t>
        </is>
      </c>
      <c r="M48" t="inlineStr"/>
    </row>
    <row r="49">
      <c r="A49" t="inlineStr">
        <is>
          <t>84A201169AKP1</t>
        </is>
      </c>
      <c r="B49" t="inlineStr">
        <is>
          <t>ENGINEERS HORN BUTTON</t>
        </is>
      </c>
      <c r="C49" t="inlineStr">
        <is>
          <t>Controls (MCA, train control, er etc)</t>
        </is>
      </c>
      <c r="D49" t="inlineStr">
        <is>
          <t>TRAIN CONTROL</t>
        </is>
      </c>
      <c r="E49" t="n">
        <v>1</v>
      </c>
      <c r="F49" t="inlineStr">
        <is>
          <t>PAC (Brasil, nacionalizado)</t>
        </is>
      </c>
      <c r="G49" s="3" t="n"/>
      <c r="H49" s="4" t="n">
        <v>1139.620211260358</v>
      </c>
      <c r="I49" s="5" t="n">
        <v>0.463</v>
      </c>
      <c r="J49" t="inlineStr">
        <is>
          <t>High</t>
        </is>
      </c>
      <c r="K49" t="inlineStr">
        <is>
          <t>85365090</t>
        </is>
      </c>
      <c r="L49" t="inlineStr">
        <is>
          <t>9.35x5.3x5.2</t>
        </is>
      </c>
      <c r="M49" t="inlineStr"/>
    </row>
    <row r="50">
      <c r="A50" t="inlineStr">
        <is>
          <t>41B549523ABP101</t>
        </is>
      </c>
      <c r="B50" t="inlineStr">
        <is>
          <t>BATTERY SAVER RESET PUSH BUTTON</t>
        </is>
      </c>
      <c r="C50" t="inlineStr">
        <is>
          <t>Controls (MCA, train control, er etc)</t>
        </is>
      </c>
      <c r="D50" t="inlineStr">
        <is>
          <t>TRAIN CONTROL</t>
        </is>
      </c>
      <c r="E50" t="n">
        <v>1</v>
      </c>
      <c r="F50" t="inlineStr">
        <is>
          <t>PAC (Brasil, nacionalizado)</t>
        </is>
      </c>
      <c r="G50" s="3" t="n"/>
      <c r="H50" s="4" t="n">
        <v>1117.58376306</v>
      </c>
      <c r="I50" s="5" t="n">
        <v>0.215</v>
      </c>
      <c r="J50" t="inlineStr">
        <is>
          <t>High</t>
        </is>
      </c>
      <c r="K50" t="inlineStr">
        <is>
          <t>85365090</t>
        </is>
      </c>
      <c r="L50" t="inlineStr">
        <is>
          <t>3.875x1.625x2.125</t>
        </is>
      </c>
      <c r="M50" t="inlineStr"/>
    </row>
    <row r="51">
      <c r="A51" t="inlineStr">
        <is>
          <t>41B564808G1</t>
        </is>
      </c>
      <c r="B51" t="inlineStr">
        <is>
          <t>A-DIODE ASM</t>
        </is>
      </c>
      <c r="C51" t="inlineStr">
        <is>
          <t>SKID Assembly</t>
        </is>
      </c>
      <c r="D51" t="inlineStr">
        <is>
          <t>SKID (Skid)</t>
        </is>
      </c>
      <c r="E51" t="n">
        <v>16</v>
      </c>
      <c r="F51" t="inlineStr">
        <is>
          <t>PAC (Brasil, nacionalizado)</t>
        </is>
      </c>
      <c r="G51" s="3" t="n"/>
      <c r="H51" s="4" t="n">
        <v>63.81299476570191</v>
      </c>
      <c r="I51" s="5" t="n">
        <v>0.045</v>
      </c>
      <c r="J51" t="inlineStr">
        <is>
          <t>High</t>
        </is>
      </c>
      <c r="K51" t="inlineStr">
        <is>
          <t>85411092</t>
        </is>
      </c>
      <c r="L51" t="inlineStr">
        <is>
          <t>3x0.75x1.5</t>
        </is>
      </c>
      <c r="M51" t="inlineStr"/>
    </row>
    <row r="52">
      <c r="A52" t="inlineStr">
        <is>
          <t>497A365P13</t>
        </is>
      </c>
      <c r="B52" t="inlineStr">
        <is>
          <t>ALARM AND SIGNAL BELL</t>
        </is>
      </c>
      <c r="C52" t="inlineStr">
        <is>
          <t>Controls (MCA, train control, er etc)</t>
        </is>
      </c>
      <c r="D52" t="inlineStr">
        <is>
          <t>TRAIN CONTROL</t>
        </is>
      </c>
      <c r="E52" t="n">
        <v>1</v>
      </c>
      <c r="F52" t="inlineStr">
        <is>
          <t>PAC (Brasil, nacionalizado)</t>
        </is>
      </c>
      <c r="G52" s="3" t="n"/>
      <c r="H52" s="4" t="n">
        <v>975.6429302812419</v>
      </c>
      <c r="I52" s="5" t="n">
        <v>0.962</v>
      </c>
      <c r="J52" t="inlineStr">
        <is>
          <t>High</t>
        </is>
      </c>
      <c r="K52" t="inlineStr">
        <is>
          <t>85318000</t>
        </is>
      </c>
      <c r="L52" t="inlineStr">
        <is>
          <t>7x3.25x4.75</t>
        </is>
      </c>
      <c r="M52" t="inlineStr"/>
    </row>
    <row r="53">
      <c r="A53" t="inlineStr">
        <is>
          <t>84A201850P5</t>
        </is>
      </c>
      <c r="B53" t="inlineStr">
        <is>
          <t>AC-ROTARY SWITCH</t>
        </is>
      </c>
      <c r="C53" t="inlineStr">
        <is>
          <t>SKID Assembly</t>
        </is>
      </c>
      <c r="D53" t="inlineStr">
        <is>
          <t>SKID (Skid)</t>
        </is>
      </c>
      <c r="E53" t="n">
        <v>1</v>
      </c>
      <c r="F53" t="inlineStr">
        <is>
          <t>PAC (Brasil, nacionalizado)</t>
        </is>
      </c>
      <c r="G53" s="3" t="n"/>
      <c r="H53" s="4" t="n">
        <v>946.5515381766586</v>
      </c>
      <c r="I53" s="5" t="n">
        <v>0.177</v>
      </c>
      <c r="J53" t="inlineStr">
        <is>
          <t>High</t>
        </is>
      </c>
      <c r="K53" t="inlineStr">
        <is>
          <t>85365090</t>
        </is>
      </c>
      <c r="L53" t="inlineStr">
        <is>
          <t>5.2x2.9x3.35</t>
        </is>
      </c>
      <c r="M53" t="inlineStr"/>
    </row>
    <row r="54">
      <c r="A54" t="inlineStr">
        <is>
          <t>41A216641P235</t>
        </is>
      </c>
      <c r="B54" t="inlineStr">
        <is>
          <t>GOLINC / ACC POWER CONNECTOR</t>
        </is>
      </c>
      <c r="C54" t="inlineStr">
        <is>
          <t>Controls (MCA, train control, er etc)</t>
        </is>
      </c>
      <c r="D54" t="inlineStr">
        <is>
          <t>Wiring</t>
        </is>
      </c>
      <c r="E54" t="n">
        <v>3</v>
      </c>
      <c r="F54" t="inlineStr">
        <is>
          <t>PAC (Brasil, nacionalizado)</t>
        </is>
      </c>
      <c r="G54" s="3" t="n"/>
      <c r="H54" s="4" t="n">
        <v>303.7320157473332</v>
      </c>
      <c r="I54" s="5" t="n">
        <v>0.043</v>
      </c>
      <c r="J54" t="inlineStr">
        <is>
          <t>High</t>
        </is>
      </c>
      <c r="K54" t="inlineStr">
        <is>
          <t>85359090</t>
        </is>
      </c>
      <c r="L54" t="inlineStr">
        <is>
          <t>4.52x1.35x6.95</t>
        </is>
      </c>
      <c r="M54" t="inlineStr"/>
    </row>
    <row r="55">
      <c r="A55" t="inlineStr">
        <is>
          <t>84A206730P1</t>
        </is>
      </c>
      <c r="B55" t="inlineStr">
        <is>
          <t>565" / CABLE 5 PAIR</t>
        </is>
      </c>
      <c r="C55" t="inlineStr">
        <is>
          <t>Controls (MCA, train control, er etc)</t>
        </is>
      </c>
      <c r="D55" t="inlineStr">
        <is>
          <t>Wiring</t>
        </is>
      </c>
      <c r="E55" t="n">
        <v>50</v>
      </c>
      <c r="F55" t="inlineStr">
        <is>
          <t>PAC (Brasil, nacionalizado)</t>
        </is>
      </c>
      <c r="G55" s="3" t="n"/>
      <c r="H55" s="4" t="n">
        <v>17.96488796336743</v>
      </c>
      <c r="I55" s="5" t="n">
        <v>0.041</v>
      </c>
      <c r="J55" t="inlineStr">
        <is>
          <t>High</t>
        </is>
      </c>
      <c r="K55" t="inlineStr">
        <is>
          <t>85444900</t>
        </is>
      </c>
      <c r="L55" t="inlineStr">
        <is>
          <t>12x0.5x0.5</t>
        </is>
      </c>
      <c r="M55" t="inlineStr"/>
    </row>
    <row r="56">
      <c r="A56" t="inlineStr">
        <is>
          <t>41B549523ADP108</t>
        </is>
      </c>
      <c r="B56" t="inlineStr">
        <is>
          <t>VIGILANCE RESET SWITCH</t>
        </is>
      </c>
      <c r="C56" t="inlineStr">
        <is>
          <t>Controls (MCA, train control, er etc)</t>
        </is>
      </c>
      <c r="D56" t="inlineStr">
        <is>
          <t>TRAIN CONTROL</t>
        </is>
      </c>
      <c r="E56" t="n">
        <v>1</v>
      </c>
      <c r="F56" t="inlineStr">
        <is>
          <t>PAC (Brasil, nacionalizado)</t>
        </is>
      </c>
      <c r="G56" s="3" t="n"/>
      <c r="H56" s="4" t="n">
        <v>803.9672625806097</v>
      </c>
      <c r="I56" s="5" t="n">
        <v>0.204</v>
      </c>
      <c r="J56" t="inlineStr">
        <is>
          <t>High</t>
        </is>
      </c>
      <c r="K56" t="inlineStr">
        <is>
          <t>85365090</t>
        </is>
      </c>
      <c r="L56" t="inlineStr">
        <is>
          <t>4x2.5x2.5</t>
        </is>
      </c>
      <c r="M56" t="inlineStr"/>
    </row>
    <row r="57">
      <c r="A57" t="inlineStr">
        <is>
          <t>41A317303ACP49</t>
        </is>
      </c>
      <c r="B57" t="inlineStr">
        <is>
          <t>AIR RESERVOIR
PRESSURE
SENSOR</t>
        </is>
      </c>
      <c r="C57" t="inlineStr">
        <is>
          <t>Controls (MCA, train control, er etc)</t>
        </is>
      </c>
      <c r="D57" t="inlineStr">
        <is>
          <t>MCA</t>
        </is>
      </c>
      <c r="E57" t="n">
        <v>1</v>
      </c>
      <c r="F57" t="inlineStr">
        <is>
          <t>PAC (Brasil, nacionalizado)</t>
        </is>
      </c>
      <c r="G57" s="3" t="n"/>
      <c r="H57" s="4" t="n">
        <v>749.1604054445767</v>
      </c>
      <c r="I57" s="5" t="n">
        <v>0.045</v>
      </c>
      <c r="J57" t="inlineStr">
        <is>
          <t>High</t>
        </is>
      </c>
      <c r="K57" t="inlineStr">
        <is>
          <t>90262090</t>
        </is>
      </c>
      <c r="L57" t="inlineStr">
        <is>
          <t>2.9x0.5x0.5</t>
        </is>
      </c>
      <c r="M57" t="inlineStr"/>
    </row>
    <row r="58">
      <c r="A58" t="inlineStr">
        <is>
          <t>41A216641AMP126</t>
        </is>
      </c>
      <c r="B58" t="inlineStr">
        <is>
          <t>NIO1D CONNECTOR BACKSHELL</t>
        </is>
      </c>
      <c r="C58" t="inlineStr">
        <is>
          <t>Controls (MCA, train control, er etc)</t>
        </is>
      </c>
      <c r="D58" t="inlineStr">
        <is>
          <t>Wiring</t>
        </is>
      </c>
      <c r="E58" t="n">
        <v>3</v>
      </c>
      <c r="F58" t="inlineStr">
        <is>
          <t>Importado (EUA)</t>
        </is>
      </c>
      <c r="G58" s="3" t="n">
        <v>29.9096</v>
      </c>
      <c r="H58" s="4" t="n"/>
      <c r="I58" s="5" t="n">
        <v>0</v>
      </c>
      <c r="J58" t="inlineStr">
        <is>
          <t>High</t>
        </is>
      </c>
      <c r="L58" t="inlineStr">
        <is>
          <t>0x0x0</t>
        </is>
      </c>
      <c r="M58" t="inlineStr"/>
    </row>
    <row r="59">
      <c r="A59" t="inlineStr">
        <is>
          <t>84A215329P1</t>
        </is>
      </c>
      <c r="B59" t="inlineStr">
        <is>
          <t>ENGINE STOP SWITCH</t>
        </is>
      </c>
      <c r="C59" t="inlineStr">
        <is>
          <t>Controls (MCA, train control, er etc)</t>
        </is>
      </c>
      <c r="D59" t="inlineStr">
        <is>
          <t>TRAIN CONTROL</t>
        </is>
      </c>
      <c r="E59" t="n">
        <v>1</v>
      </c>
      <c r="F59" t="inlineStr">
        <is>
          <t>PAC (Brasil, nacionalizado)</t>
        </is>
      </c>
      <c r="G59" s="3" t="n"/>
      <c r="H59" s="4" t="n">
        <v>702.9855310248125</v>
      </c>
      <c r="I59" s="5" t="n">
        <v>0.175</v>
      </c>
      <c r="J59" t="inlineStr">
        <is>
          <t>High</t>
        </is>
      </c>
      <c r="K59" t="inlineStr">
        <is>
          <t>85365090</t>
        </is>
      </c>
      <c r="L59" t="inlineStr">
        <is>
          <t>1.75x3.25x2.75</t>
        </is>
      </c>
      <c r="M59" t="inlineStr"/>
    </row>
    <row r="60">
      <c r="A60" t="inlineStr">
        <is>
          <t>41A296328ASP3</t>
        </is>
      </c>
      <c r="B60" t="inlineStr">
        <is>
          <t>BATTERY TEMPERATURE SENSOR</t>
        </is>
      </c>
      <c r="C60" t="inlineStr">
        <is>
          <t>Controls (MCA, train control, er etc)</t>
        </is>
      </c>
      <c r="D60" t="inlineStr">
        <is>
          <t>Power</t>
        </is>
      </c>
      <c r="E60" t="n">
        <v>1</v>
      </c>
      <c r="F60" t="inlineStr">
        <is>
          <t>PAC (Brasil, nacionalizado)</t>
        </is>
      </c>
      <c r="G60" s="3" t="n"/>
      <c r="H60" s="4" t="n">
        <v>695.0807882115457</v>
      </c>
      <c r="I60" s="5" t="n">
        <v>0.422</v>
      </c>
      <c r="J60" t="inlineStr">
        <is>
          <t>High</t>
        </is>
      </c>
      <c r="K60" t="inlineStr">
        <is>
          <t>90251990</t>
        </is>
      </c>
      <c r="L60" t="inlineStr">
        <is>
          <t>9.5x1.5x9.5</t>
        </is>
      </c>
      <c r="M60" t="inlineStr"/>
    </row>
    <row r="61">
      <c r="A61" t="inlineStr">
        <is>
          <t>41A216641ABP45</t>
        </is>
      </c>
      <c r="B61" t="inlineStr">
        <is>
          <t>DUAL PROCESSOR MODULE 
CONNECTOR</t>
        </is>
      </c>
      <c r="C61" t="inlineStr">
        <is>
          <t>Controls (MCA, train control, er etc)</t>
        </is>
      </c>
      <c r="D61" t="inlineStr">
        <is>
          <t>Wiring</t>
        </is>
      </c>
      <c r="E61" t="n">
        <v>2</v>
      </c>
      <c r="F61" t="inlineStr">
        <is>
          <t>PAC (Brasil, nacionalizado)</t>
        </is>
      </c>
      <c r="G61" s="3" t="n"/>
      <c r="H61" s="4" t="n">
        <v>346.9724620785378</v>
      </c>
      <c r="I61" s="5" t="n">
        <v>0.058</v>
      </c>
      <c r="J61" t="inlineStr">
        <is>
          <t>High</t>
        </is>
      </c>
      <c r="K61" t="inlineStr">
        <is>
          <t>85369090</t>
        </is>
      </c>
      <c r="L61" t="inlineStr">
        <is>
          <t>2x1x1</t>
        </is>
      </c>
      <c r="M61" t="inlineStr"/>
    </row>
    <row r="62">
      <c r="A62" t="inlineStr">
        <is>
          <t>84A232147P2</t>
        </is>
      </c>
      <c r="B62" t="inlineStr">
        <is>
          <t>PIN            REAR HOLD-DOWN</t>
        </is>
      </c>
      <c r="C62" t="inlineStr">
        <is>
          <t>Controls (MCA, train control, er etc)</t>
        </is>
      </c>
      <c r="D62" t="inlineStr">
        <is>
          <t>TRAIN CONTROL</t>
        </is>
      </c>
      <c r="E62" t="n">
        <v>30</v>
      </c>
      <c r="F62" t="inlineStr">
        <is>
          <t>PAC (Brasil, nacionalizado)</t>
        </is>
      </c>
      <c r="G62" s="3" t="n"/>
      <c r="H62" s="4" t="n">
        <v>22.8021444078655</v>
      </c>
      <c r="I62" s="5" t="n">
        <v>0.005</v>
      </c>
      <c r="J62" t="inlineStr">
        <is>
          <t>High</t>
        </is>
      </c>
      <c r="K62" t="inlineStr">
        <is>
          <t>73182900</t>
        </is>
      </c>
      <c r="L62" t="inlineStr">
        <is>
          <t>1x0.125x0.125</t>
        </is>
      </c>
      <c r="M62" t="inlineStr"/>
    </row>
    <row r="63">
      <c r="A63" t="inlineStr">
        <is>
          <t>41A321053G1</t>
        </is>
      </c>
      <c r="B63" t="inlineStr">
        <is>
          <t>Power Resistor</t>
        </is>
      </c>
      <c r="C63" t="inlineStr">
        <is>
          <t>Power</t>
        </is>
      </c>
      <c r="D63" t="inlineStr">
        <is>
          <t>Resistor</t>
        </is>
      </c>
      <c r="E63" t="n">
        <v>1</v>
      </c>
      <c r="F63" t="inlineStr">
        <is>
          <t>PAC (Brasil, nacionalizado)</t>
        </is>
      </c>
      <c r="G63" s="3" t="n"/>
      <c r="H63" s="4" t="n">
        <v>682.4547468272788</v>
      </c>
      <c r="I63" s="5" t="n">
        <v>3.629</v>
      </c>
      <c r="J63" t="inlineStr">
        <is>
          <t>High</t>
        </is>
      </c>
      <c r="K63" t="inlineStr">
        <is>
          <t>85332900</t>
        </is>
      </c>
      <c r="L63" t="inlineStr">
        <is>
          <t>12x3x7.5</t>
        </is>
      </c>
      <c r="M63" t="inlineStr"/>
    </row>
    <row r="64">
      <c r="A64" t="inlineStr">
        <is>
          <t>17 pin MS3106-20-29F</t>
        </is>
      </c>
      <c r="B64" t="inlineStr">
        <is>
          <t>Head of Train Device - Padom - J2 Connector</t>
        </is>
      </c>
      <c r="C64" t="inlineStr">
        <is>
          <t>Controls (MCA, train control, er etc)</t>
        </is>
      </c>
      <c r="D64" t="inlineStr">
        <is>
          <t>Wiring</t>
        </is>
      </c>
      <c r="E64" t="n">
        <v>1</v>
      </c>
      <c r="F64" t="inlineStr">
        <is>
          <t>Importado (EUA)</t>
        </is>
      </c>
      <c r="G64" s="3" t="n">
        <v>79.83</v>
      </c>
      <c r="H64" s="4" t="n"/>
      <c r="M64" t="inlineStr"/>
    </row>
    <row r="65">
      <c r="A65" t="inlineStr">
        <is>
          <t>41A216641P157</t>
        </is>
      </c>
      <c r="B65" t="inlineStr">
        <is>
          <t>SNIO CONNECTOR 2</t>
        </is>
      </c>
      <c r="C65" t="inlineStr">
        <is>
          <t>Controls (MCA, train control, er etc)</t>
        </is>
      </c>
      <c r="D65" t="inlineStr">
        <is>
          <t>Wiring</t>
        </is>
      </c>
      <c r="E65" t="n">
        <v>1</v>
      </c>
      <c r="F65" t="inlineStr">
        <is>
          <t>PAC (Brasil, nacionalizado)</t>
        </is>
      </c>
      <c r="G65" s="3" t="n"/>
      <c r="H65" s="4" t="n">
        <v>625.709413769385</v>
      </c>
      <c r="I65" s="5" t="n">
        <v>0.096</v>
      </c>
      <c r="J65" t="inlineStr">
        <is>
          <t>High</t>
        </is>
      </c>
      <c r="K65" t="inlineStr">
        <is>
          <t>85366990</t>
        </is>
      </c>
      <c r="L65" t="inlineStr">
        <is>
          <t>2.5x1.5x1.5</t>
        </is>
      </c>
      <c r="M65" t="inlineStr"/>
    </row>
    <row r="66">
      <c r="A66" t="inlineStr">
        <is>
          <t>41A216641AMP125</t>
        </is>
      </c>
      <c r="B66" t="inlineStr">
        <is>
          <t>NIO1A CONNECTOR BACKSHELL</t>
        </is>
      </c>
      <c r="C66" t="inlineStr">
        <is>
          <t>Controls (MCA, train control, er etc)</t>
        </is>
      </c>
      <c r="D66" t="inlineStr">
        <is>
          <t>Wiring</t>
        </is>
      </c>
      <c r="E66" t="n">
        <v>3</v>
      </c>
      <c r="F66" t="inlineStr">
        <is>
          <t>Importado (EUA)</t>
        </is>
      </c>
      <c r="G66" s="3" t="n">
        <v>24.1998</v>
      </c>
      <c r="H66" s="4" t="n"/>
      <c r="I66" s="5" t="n">
        <v>0.005</v>
      </c>
      <c r="J66" t="inlineStr">
        <is>
          <t>High</t>
        </is>
      </c>
      <c r="L66" t="inlineStr">
        <is>
          <t>0x0x0</t>
        </is>
      </c>
      <c r="M66" t="inlineStr"/>
    </row>
    <row r="67">
      <c r="A67" t="inlineStr">
        <is>
          <t>5088-7000-P4611-0000000-ND‎</t>
        </is>
      </c>
      <c r="B67" t="inlineStr">
        <is>
          <t>POE Power Connector on SMM2 (M12 FEMALE 0 L-CODED FIELD-WIREA)</t>
        </is>
      </c>
      <c r="C67" t="inlineStr">
        <is>
          <t>Controls (MCA, train control, er etc)</t>
        </is>
      </c>
      <c r="D67" t="inlineStr">
        <is>
          <t>TRAIN CONTROL</t>
        </is>
      </c>
      <c r="E67" t="n">
        <v>1</v>
      </c>
      <c r="F67" t="inlineStr">
        <is>
          <t>Importado (EUA)</t>
        </is>
      </c>
      <c r="G67" s="3" t="n">
        <v>72.41</v>
      </c>
      <c r="H67" s="4" t="n"/>
      <c r="M67" t="inlineStr"/>
    </row>
    <row r="68">
      <c r="A68" t="inlineStr">
        <is>
          <t>41A296352PTP67</t>
        </is>
      </c>
      <c r="B68" t="inlineStr">
        <is>
          <t>CABLE CSX 12V P WR CBL</t>
        </is>
      </c>
      <c r="C68" t="inlineStr">
        <is>
          <t>Controls (MCA, train control, er etc)</t>
        </is>
      </c>
      <c r="D68" t="inlineStr">
        <is>
          <t>MCA</t>
        </is>
      </c>
      <c r="E68" t="n">
        <v>1</v>
      </c>
      <c r="F68" t="inlineStr">
        <is>
          <t>Importado (EUA)</t>
        </is>
      </c>
      <c r="G68" s="3" t="n">
        <v>71.94</v>
      </c>
      <c r="H68" s="4" t="n"/>
      <c r="M68" t="inlineStr"/>
    </row>
    <row r="69">
      <c r="A69" t="inlineStr">
        <is>
          <t>41A296352PTP69</t>
        </is>
      </c>
      <c r="B69" t="inlineStr">
        <is>
          <t>CABLE CSX 74V P WR CBL</t>
        </is>
      </c>
      <c r="C69" t="inlineStr">
        <is>
          <t>Controls (MCA, train control, er etc)</t>
        </is>
      </c>
      <c r="D69" t="inlineStr">
        <is>
          <t>MCA</t>
        </is>
      </c>
      <c r="E69" t="n">
        <v>1</v>
      </c>
      <c r="F69" t="inlineStr">
        <is>
          <t>Importado (EUA)</t>
        </is>
      </c>
      <c r="G69" s="3" t="n">
        <v>71.94</v>
      </c>
      <c r="H69" s="4" t="n"/>
      <c r="M69" t="inlineStr"/>
    </row>
    <row r="70">
      <c r="A70" t="inlineStr">
        <is>
          <t>41A216641AMP93</t>
        </is>
      </c>
      <c r="B70" t="inlineStr">
        <is>
          <t>NIO1E CONNECTOR</t>
        </is>
      </c>
      <c r="C70" t="inlineStr">
        <is>
          <t>Controls (MCA, train control, er etc)</t>
        </is>
      </c>
      <c r="D70" t="inlineStr">
        <is>
          <t>Wiring</t>
        </is>
      </c>
      <c r="E70" t="n">
        <v>3</v>
      </c>
      <c r="F70" t="inlineStr">
        <is>
          <t>Importado (EUA)</t>
        </is>
      </c>
      <c r="G70" s="3" t="n">
        <v>23.9499</v>
      </c>
      <c r="H70" s="4" t="n"/>
      <c r="I70" s="5" t="n">
        <v>0.054</v>
      </c>
      <c r="J70" t="inlineStr">
        <is>
          <t>High</t>
        </is>
      </c>
      <c r="L70" t="inlineStr">
        <is>
          <t>0x0x0</t>
        </is>
      </c>
      <c r="M70" t="inlineStr"/>
    </row>
    <row r="71">
      <c r="A71" t="inlineStr">
        <is>
          <t>41B549523ADP1</t>
        </is>
      </c>
      <c r="B71" t="inlineStr">
        <is>
          <t>Black push Button</t>
        </is>
      </c>
      <c r="C71" t="inlineStr">
        <is>
          <t>SKID Assembly</t>
        </is>
      </c>
      <c r="D71" t="inlineStr">
        <is>
          <t>Use in place of al levers and other push buttons</t>
        </is>
      </c>
      <c r="E71" t="n">
        <v>1</v>
      </c>
      <c r="F71" t="inlineStr">
        <is>
          <t>PAC (Brasil, nacionalizado)</t>
        </is>
      </c>
      <c r="G71" s="3" t="n"/>
      <c r="H71" s="4" t="n">
        <v>565.5667330867959</v>
      </c>
      <c r="I71" s="5" t="n">
        <v>0.142</v>
      </c>
      <c r="J71" t="inlineStr">
        <is>
          <t>High</t>
        </is>
      </c>
      <c r="K71" t="inlineStr">
        <is>
          <t>85365090</t>
        </is>
      </c>
      <c r="L71" t="inlineStr">
        <is>
          <t>4x2.125x2.125</t>
        </is>
      </c>
      <c r="M71" t="inlineStr"/>
    </row>
    <row r="72">
      <c r="A72" t="inlineStr">
        <is>
          <t>41B549523ADP2</t>
        </is>
      </c>
      <c r="B72" t="inlineStr">
        <is>
          <t>SWITCH PUSH BUTTON</t>
        </is>
      </c>
      <c r="C72" t="inlineStr">
        <is>
          <t>SKID Assembly</t>
        </is>
      </c>
      <c r="D72" t="inlineStr">
        <is>
          <t>SKID (Skid)</t>
        </is>
      </c>
      <c r="E72" t="n">
        <v>1</v>
      </c>
      <c r="F72" t="inlineStr">
        <is>
          <t>PAC (Brasil, nacionalizado)</t>
        </is>
      </c>
      <c r="G72" s="3" t="n"/>
      <c r="H72" s="4" t="n">
        <v>542.7109546658806</v>
      </c>
      <c r="I72" s="5" t="n">
        <v>0.141</v>
      </c>
      <c r="J72" t="inlineStr">
        <is>
          <t>High</t>
        </is>
      </c>
      <c r="K72" t="inlineStr">
        <is>
          <t>85365090</t>
        </is>
      </c>
      <c r="L72" t="inlineStr">
        <is>
          <t>1.95x2.7x1.8</t>
        </is>
      </c>
      <c r="M72" t="inlineStr"/>
    </row>
    <row r="73">
      <c r="A73" t="inlineStr">
        <is>
          <t>41A296328APP5</t>
        </is>
      </c>
      <c r="B73" t="inlineStr">
        <is>
          <t>BATTERY CURRENT SENSOR</t>
        </is>
      </c>
      <c r="C73" t="inlineStr">
        <is>
          <t>Controls (MCA, train control, er etc)</t>
        </is>
      </c>
      <c r="D73" t="inlineStr">
        <is>
          <t>MCA</t>
        </is>
      </c>
      <c r="E73" t="n">
        <v>1</v>
      </c>
      <c r="F73" t="inlineStr">
        <is>
          <t>PAC (Brasil, nacionalizado)</t>
        </is>
      </c>
      <c r="G73" s="3" t="n"/>
      <c r="H73" s="4" t="n">
        <v>530.7161691061002</v>
      </c>
      <c r="I73" s="5" t="n">
        <v>0.575</v>
      </c>
      <c r="J73" t="inlineStr">
        <is>
          <t>High</t>
        </is>
      </c>
      <c r="K73" t="inlineStr">
        <is>
          <t>90303390</t>
        </is>
      </c>
      <c r="L73" t="inlineStr">
        <is>
          <t>4.75x1.25x4</t>
        </is>
      </c>
      <c r="M73" t="inlineStr"/>
    </row>
    <row r="74">
      <c r="A74" t="inlineStr">
        <is>
          <t>41A216641AMP103</t>
        </is>
      </c>
      <c r="B74" t="inlineStr">
        <is>
          <t>NIO1D CONNECTOR</t>
        </is>
      </c>
      <c r="C74" t="inlineStr">
        <is>
          <t>Controls (MCA, train control, er etc)</t>
        </is>
      </c>
      <c r="D74" t="inlineStr">
        <is>
          <t>Wiring</t>
        </is>
      </c>
      <c r="E74" t="n">
        <v>3</v>
      </c>
      <c r="F74" t="inlineStr">
        <is>
          <t>Importado (EUA)</t>
        </is>
      </c>
      <c r="G74" s="3" t="n">
        <v>21.2198</v>
      </c>
      <c r="H74" s="4" t="n"/>
      <c r="I74" s="5" t="n">
        <v>0.045</v>
      </c>
      <c r="J74" t="inlineStr">
        <is>
          <t>High</t>
        </is>
      </c>
      <c r="L74" t="inlineStr">
        <is>
          <t>1.5x1x1.5</t>
        </is>
      </c>
      <c r="M74" t="inlineStr"/>
    </row>
    <row r="75">
      <c r="A75" t="inlineStr">
        <is>
          <t>16246P</t>
        </is>
      </c>
      <c r="B75" t="inlineStr">
        <is>
          <t>Flexi-Axle - WRE Part Number: 16246P</t>
        </is>
      </c>
      <c r="C75" t="inlineStr">
        <is>
          <t>PTC</t>
        </is>
      </c>
      <c r="D75" t="inlineStr">
        <is>
          <t>PTC</t>
        </is>
      </c>
      <c r="E75" t="n">
        <v>1</v>
      </c>
      <c r="F75" t="inlineStr">
        <is>
          <t>Importado (EUA)</t>
        </is>
      </c>
      <c r="G75" s="3" t="n">
        <v>59.75</v>
      </c>
      <c r="H75" s="4" t="n"/>
      <c r="M75" t="inlineStr"/>
    </row>
    <row r="76">
      <c r="A76" t="inlineStr">
        <is>
          <t>41A216641AMP99</t>
        </is>
      </c>
      <c r="B76" t="inlineStr">
        <is>
          <t>NIO1B CONNECTOR</t>
        </is>
      </c>
      <c r="C76" t="inlineStr">
        <is>
          <t>Controls (MCA, train control, er etc)</t>
        </is>
      </c>
      <c r="D76" t="inlineStr">
        <is>
          <t>Wiring</t>
        </is>
      </c>
      <c r="E76" t="n">
        <v>3</v>
      </c>
      <c r="F76" t="inlineStr">
        <is>
          <t>Importado (EUA)</t>
        </is>
      </c>
      <c r="G76" s="3" t="n">
        <v>19.67</v>
      </c>
      <c r="H76" s="4" t="n"/>
      <c r="I76" s="5" t="n">
        <v>0</v>
      </c>
      <c r="J76" t="inlineStr">
        <is>
          <t>High</t>
        </is>
      </c>
      <c r="L76" t="inlineStr">
        <is>
          <t>0x0x0</t>
        </is>
      </c>
      <c r="M76" t="inlineStr"/>
    </row>
    <row r="77">
      <c r="A77" t="inlineStr">
        <is>
          <t>41A216641AMP123</t>
        </is>
      </c>
      <c r="B77" t="inlineStr">
        <is>
          <t>NIO1F CONNECTOR BACKSHELL</t>
        </is>
      </c>
      <c r="C77" t="inlineStr">
        <is>
          <t>Controls (MCA, train control, er etc)</t>
        </is>
      </c>
      <c r="D77" t="inlineStr">
        <is>
          <t>Wiring</t>
        </is>
      </c>
      <c r="E77" t="n">
        <v>3</v>
      </c>
      <c r="F77" t="inlineStr">
        <is>
          <t>Importado (EUA)</t>
        </is>
      </c>
      <c r="G77" s="3" t="n">
        <v>19.5574</v>
      </c>
      <c r="H77" s="4" t="n"/>
      <c r="I77" s="5" t="n">
        <v>0.02</v>
      </c>
      <c r="J77" t="inlineStr">
        <is>
          <t>High</t>
        </is>
      </c>
      <c r="L77" t="inlineStr">
        <is>
          <t>0x0x0</t>
        </is>
      </c>
      <c r="M77" t="inlineStr"/>
    </row>
    <row r="78">
      <c r="A78" t="inlineStr">
        <is>
          <t>41A216641P140</t>
        </is>
      </c>
      <c r="B78" t="inlineStr">
        <is>
          <t>Part NumberEUMATIC OPERATING UNIT
CONNECTOR - 5</t>
        </is>
      </c>
      <c r="C78" t="inlineStr">
        <is>
          <t>Air</t>
        </is>
      </c>
      <c r="D78" t="inlineStr">
        <is>
          <t>Fastbrake</t>
        </is>
      </c>
      <c r="E78" t="n">
        <v>1</v>
      </c>
      <c r="F78" t="inlineStr">
        <is>
          <t>PAC (Brasil, nacionalizado)</t>
        </is>
      </c>
      <c r="G78" s="3" t="n"/>
      <c r="H78" s="4" t="n">
        <v>480.42768458</v>
      </c>
      <c r="I78" s="5" t="n">
        <v>0.091</v>
      </c>
      <c r="J78" t="inlineStr">
        <is>
          <t>High</t>
        </is>
      </c>
      <c r="K78" t="inlineStr">
        <is>
          <t>85369090</t>
        </is>
      </c>
      <c r="L78" t="inlineStr">
        <is>
          <t>4x2x4</t>
        </is>
      </c>
      <c r="M78" t="inlineStr"/>
    </row>
    <row r="79">
      <c r="A79" t="inlineStr">
        <is>
          <t>41A216641AMP100</t>
        </is>
      </c>
      <c r="B79" t="inlineStr">
        <is>
          <t>NIO1C CONNECTOR</t>
        </is>
      </c>
      <c r="C79" t="inlineStr">
        <is>
          <t>Controls (MCA, train control, er etc)</t>
        </is>
      </c>
      <c r="D79" t="inlineStr">
        <is>
          <t>Wiring</t>
        </is>
      </c>
      <c r="E79" t="n">
        <v>3</v>
      </c>
      <c r="F79" t="inlineStr">
        <is>
          <t>Importado (EUA)</t>
        </is>
      </c>
      <c r="G79" s="3" t="n">
        <v>19.173</v>
      </c>
      <c r="H79" s="4" t="n"/>
      <c r="I79" s="5" t="n">
        <v>0</v>
      </c>
      <c r="J79" t="inlineStr">
        <is>
          <t>High</t>
        </is>
      </c>
      <c r="L79" t="inlineStr">
        <is>
          <t>0x0x0</t>
        </is>
      </c>
      <c r="M79" t="inlineStr"/>
    </row>
    <row r="80">
      <c r="A80" t="inlineStr">
        <is>
          <t>41A216641P53</t>
        </is>
      </c>
      <c r="B80" t="inlineStr">
        <is>
          <t>SNIO CONNECTOR 1</t>
        </is>
      </c>
      <c r="C80" t="inlineStr">
        <is>
          <t>Controls (MCA, train control, er etc)</t>
        </is>
      </c>
      <c r="D80" t="inlineStr">
        <is>
          <t>Wiring</t>
        </is>
      </c>
      <c r="E80" t="n">
        <v>1</v>
      </c>
      <c r="F80" t="inlineStr">
        <is>
          <t>PAC (Brasil, nacionalizado)</t>
        </is>
      </c>
      <c r="G80" s="3" t="n"/>
      <c r="H80" s="4" t="n">
        <v>472.9130251471875</v>
      </c>
      <c r="I80" s="5" t="n">
        <v>0.093</v>
      </c>
      <c r="J80" t="inlineStr">
        <is>
          <t>High</t>
        </is>
      </c>
      <c r="K80" t="inlineStr">
        <is>
          <t>85366990</t>
        </is>
      </c>
      <c r="L80" t="inlineStr">
        <is>
          <t>5.85x1.95x3.9</t>
        </is>
      </c>
      <c r="M80" t="inlineStr"/>
    </row>
    <row r="81">
      <c r="A81" t="inlineStr">
        <is>
          <t>41A216641AMP86</t>
        </is>
      </c>
      <c r="B81" t="inlineStr">
        <is>
          <t>NIO1F CONNECTOR</t>
        </is>
      </c>
      <c r="C81" t="inlineStr">
        <is>
          <t>Controls (MCA, train control, er etc)</t>
        </is>
      </c>
      <c r="D81" t="inlineStr">
        <is>
          <t>Wiring</t>
        </is>
      </c>
      <c r="E81" t="n">
        <v>3</v>
      </c>
      <c r="F81" t="inlineStr">
        <is>
          <t>Importado (EUA)</t>
        </is>
      </c>
      <c r="G81" s="3" t="n">
        <v>18.9357</v>
      </c>
      <c r="H81" s="4" t="n"/>
      <c r="I81" s="5" t="n">
        <v>0.032</v>
      </c>
      <c r="J81" t="inlineStr">
        <is>
          <t>High</t>
        </is>
      </c>
      <c r="L81" t="inlineStr">
        <is>
          <t>3.95x1.25x6.65</t>
        </is>
      </c>
      <c r="M81" t="inlineStr"/>
    </row>
    <row r="82">
      <c r="A82" t="inlineStr">
        <is>
          <t>41A216641P141</t>
        </is>
      </c>
      <c r="B82" t="inlineStr">
        <is>
          <t>Part NumberEUMATIC OPERATING UNIT
CONNECTOR - 7</t>
        </is>
      </c>
      <c r="C82" t="inlineStr">
        <is>
          <t>Air</t>
        </is>
      </c>
      <c r="D82" t="inlineStr">
        <is>
          <t>Fastbrake</t>
        </is>
      </c>
      <c r="E82" t="n">
        <v>1</v>
      </c>
      <c r="F82" t="inlineStr">
        <is>
          <t>PAC (Brasil, nacionalizado)</t>
        </is>
      </c>
      <c r="G82" s="3" t="n"/>
      <c r="H82" s="4" t="n">
        <v>455.99945986</v>
      </c>
      <c r="I82" s="5" t="n">
        <v>0.068</v>
      </c>
      <c r="J82" t="inlineStr">
        <is>
          <t>High</t>
        </is>
      </c>
      <c r="K82" t="inlineStr">
        <is>
          <t>85369090</t>
        </is>
      </c>
      <c r="L82" t="inlineStr">
        <is>
          <t>4x2x3</t>
        </is>
      </c>
      <c r="M82" t="inlineStr"/>
    </row>
    <row r="83">
      <c r="A83" t="inlineStr">
        <is>
          <t>41A212414P35</t>
        </is>
      </c>
      <c r="B83" t="inlineStr">
        <is>
          <t>CIRCUIT BREAKER 1P</t>
        </is>
      </c>
      <c r="C83" t="inlineStr">
        <is>
          <t>SKID Assembly</t>
        </is>
      </c>
      <c r="D83" t="inlineStr">
        <is>
          <t>SKID (Skid)</t>
        </is>
      </c>
      <c r="E83" t="n">
        <v>6</v>
      </c>
      <c r="F83" t="inlineStr">
        <is>
          <t>PAC (Brasil, nacionalizado)</t>
        </is>
      </c>
      <c r="G83" s="3" t="n"/>
      <c r="H83" s="4" t="n">
        <v>75.61831999260301</v>
      </c>
      <c r="I83" s="5" t="n">
        <v>0.095</v>
      </c>
      <c r="J83" t="inlineStr">
        <is>
          <t>High</t>
        </is>
      </c>
      <c r="K83" t="inlineStr">
        <is>
          <t>85362000</t>
        </is>
      </c>
      <c r="L83" t="inlineStr">
        <is>
          <t>3.1x0.7x2.45</t>
        </is>
      </c>
      <c r="M83" t="inlineStr"/>
    </row>
    <row r="84">
      <c r="A84" t="inlineStr">
        <is>
          <t>41A212414P73</t>
        </is>
      </c>
      <c r="B84" t="inlineStr">
        <is>
          <t>BATT CHARGER &amp; COMP CIRCUIT BREAKER (2P, 20A / 50A)</t>
        </is>
      </c>
      <c r="C84" t="inlineStr">
        <is>
          <t>Controls (MCA, train control, er etc)</t>
        </is>
      </c>
      <c r="D84" t="inlineStr">
        <is>
          <t>Circuit Breaker</t>
        </is>
      </c>
      <c r="E84" t="n">
        <v>1</v>
      </c>
      <c r="F84" t="inlineStr">
        <is>
          <t>PAC (Brasil, nacionalizado)</t>
        </is>
      </c>
      <c r="G84" s="3" t="n"/>
      <c r="H84" s="4" t="n">
        <v>443.6886040169398</v>
      </c>
      <c r="I84" s="5" t="n">
        <v>0.39</v>
      </c>
      <c r="J84" t="inlineStr">
        <is>
          <t>High</t>
        </is>
      </c>
      <c r="K84" t="inlineStr">
        <is>
          <t>85362000</t>
        </is>
      </c>
      <c r="L84" t="inlineStr">
        <is>
          <t>3x2x2.55</t>
        </is>
      </c>
      <c r="M84" t="inlineStr"/>
    </row>
    <row r="85">
      <c r="A85" t="inlineStr">
        <is>
          <t>41A212414P76</t>
        </is>
      </c>
      <c r="B85" t="inlineStr">
        <is>
          <t>FUEL PUMP CIRCUIT BREAKER (4P,
25A / 45A)</t>
        </is>
      </c>
      <c r="C85" t="inlineStr">
        <is>
          <t>Controls (MCA, train control, er etc)</t>
        </is>
      </c>
      <c r="D85" t="inlineStr">
        <is>
          <t>Circuit Breaker</t>
        </is>
      </c>
      <c r="E85" t="n">
        <v>1</v>
      </c>
      <c r="F85" t="inlineStr">
        <is>
          <t>PAC (Brasil, nacionalizado)</t>
        </is>
      </c>
      <c r="G85" s="3" t="n"/>
      <c r="H85" s="4" t="n">
        <v>427.1110017585059</v>
      </c>
      <c r="I85" s="5" t="n">
        <v>0.386</v>
      </c>
      <c r="J85" t="inlineStr">
        <is>
          <t>High</t>
        </is>
      </c>
      <c r="K85" t="inlineStr">
        <is>
          <t>85362000</t>
        </is>
      </c>
      <c r="L85" t="inlineStr">
        <is>
          <t>2.9x2.45x3.05</t>
        </is>
      </c>
      <c r="M85" t="inlineStr"/>
    </row>
    <row r="86">
      <c r="A86" t="inlineStr">
        <is>
          <t>41A296326DDP52</t>
        </is>
      </c>
      <c r="B86" t="inlineStr">
        <is>
          <t>EMU CONNECTOR</t>
        </is>
      </c>
      <c r="C86" t="inlineStr">
        <is>
          <t>Controls (MCA, train control, er etc)</t>
        </is>
      </c>
      <c r="D86" t="inlineStr">
        <is>
          <t>Wiring</t>
        </is>
      </c>
      <c r="E86" t="n">
        <v>1</v>
      </c>
      <c r="F86" t="inlineStr">
        <is>
          <t>PAC (Brasil, nacionalizado)</t>
        </is>
      </c>
      <c r="G86" s="3" t="n"/>
      <c r="H86" s="4" t="n">
        <v>411.954794</v>
      </c>
      <c r="I86" s="5" t="n">
        <v>0.113</v>
      </c>
      <c r="J86" t="inlineStr">
        <is>
          <t>High</t>
        </is>
      </c>
      <c r="K86" t="inlineStr">
        <is>
          <t>85359090</t>
        </is>
      </c>
      <c r="M86" t="inlineStr"/>
    </row>
    <row r="87">
      <c r="A87" t="inlineStr">
        <is>
          <t>84B523158P1</t>
        </is>
      </c>
      <c r="B87" t="inlineStr">
        <is>
          <t>RESERVOIR DRAIN VALVE HEATER # 1</t>
        </is>
      </c>
      <c r="C87" t="inlineStr">
        <is>
          <t>Controls (MCA, train control, er etc)</t>
        </is>
      </c>
      <c r="D87" t="inlineStr">
        <is>
          <t>TRAIN CONTROL</t>
        </is>
      </c>
      <c r="E87" t="n">
        <v>1</v>
      </c>
      <c r="F87" t="inlineStr">
        <is>
          <t>PAC (Brasil, nacionalizado)</t>
        </is>
      </c>
      <c r="G87" s="3" t="n"/>
      <c r="H87" s="4" t="n">
        <v>397.8067819072219</v>
      </c>
      <c r="I87" s="5" t="n">
        <v>0.272</v>
      </c>
      <c r="J87" t="inlineStr">
        <is>
          <t>High</t>
        </is>
      </c>
      <c r="K87" t="inlineStr">
        <is>
          <t>85168090</t>
        </is>
      </c>
      <c r="L87" t="inlineStr">
        <is>
          <t>9x1.5x9</t>
        </is>
      </c>
      <c r="M87" t="inlineStr"/>
    </row>
    <row r="88">
      <c r="A88" t="inlineStr">
        <is>
          <t>41A216641P142</t>
        </is>
      </c>
      <c r="B88" t="inlineStr">
        <is>
          <t>Part NumberEUMATIC OPERATING UNIT
CONNECTOR - 8</t>
        </is>
      </c>
      <c r="C88" t="inlineStr">
        <is>
          <t>Air</t>
        </is>
      </c>
      <c r="D88" t="inlineStr">
        <is>
          <t>Fastbrake</t>
        </is>
      </c>
      <c r="E88" t="n">
        <v>1</v>
      </c>
      <c r="F88" t="inlineStr">
        <is>
          <t>PAC (Brasil, nacionalizado)</t>
        </is>
      </c>
      <c r="G88" s="3" t="n"/>
      <c r="H88" s="4" t="n">
        <v>386.54646388</v>
      </c>
      <c r="I88" s="5" t="n">
        <v>0.054</v>
      </c>
      <c r="J88" t="inlineStr">
        <is>
          <t>High</t>
        </is>
      </c>
      <c r="K88" t="inlineStr">
        <is>
          <t>85369090</t>
        </is>
      </c>
      <c r="L88" t="inlineStr">
        <is>
          <t>4x1x4</t>
        </is>
      </c>
      <c r="M88" t="inlineStr"/>
    </row>
    <row r="89">
      <c r="A89" t="inlineStr">
        <is>
          <t>41A216641AMP98</t>
        </is>
      </c>
      <c r="B89" t="inlineStr">
        <is>
          <t>NIO1A CONNECTOR</t>
        </is>
      </c>
      <c r="C89" t="inlineStr">
        <is>
          <t>Controls (MCA, train control, er etc)</t>
        </is>
      </c>
      <c r="D89" t="inlineStr">
        <is>
          <t>Wiring</t>
        </is>
      </c>
      <c r="E89" t="n">
        <v>3</v>
      </c>
      <c r="F89" t="inlineStr">
        <is>
          <t>Importado (EUA)</t>
        </is>
      </c>
      <c r="G89" s="3" t="n">
        <v>15.455</v>
      </c>
      <c r="H89" s="4" t="n"/>
      <c r="I89" s="5" t="n">
        <v>0.053</v>
      </c>
      <c r="J89" t="inlineStr">
        <is>
          <t>High</t>
        </is>
      </c>
      <c r="L89" t="inlineStr">
        <is>
          <t>0x0x0</t>
        </is>
      </c>
      <c r="M89" t="inlineStr"/>
    </row>
    <row r="90">
      <c r="A90" t="inlineStr">
        <is>
          <t>41A216641ABP153</t>
        </is>
      </c>
      <c r="B90" t="inlineStr">
        <is>
          <t>HELPER'S RADIO SPEAKER 
CONNECTOR</t>
        </is>
      </c>
      <c r="C90" t="inlineStr">
        <is>
          <t>Controls (MCA, train control, er etc)</t>
        </is>
      </c>
      <c r="D90" t="inlineStr">
        <is>
          <t>Wiring</t>
        </is>
      </c>
      <c r="E90" t="n">
        <v>1</v>
      </c>
      <c r="F90" t="inlineStr">
        <is>
          <t>Importado (EUA)</t>
        </is>
      </c>
      <c r="G90" s="3" t="n">
        <v>45.7356</v>
      </c>
      <c r="H90" s="4" t="n"/>
      <c r="M90" t="inlineStr"/>
    </row>
    <row r="91">
      <c r="A91" t="inlineStr">
        <is>
          <t>17LV66BD52</t>
        </is>
      </c>
      <c r="B91" t="inlineStr">
        <is>
          <t>CONSIST MANAGER SYSTEM RELAY</t>
        </is>
      </c>
      <c r="C91" t="inlineStr">
        <is>
          <t>Controls (MCA, train control, er etc)</t>
        </is>
      </c>
      <c r="D91" t="inlineStr">
        <is>
          <t>TRAIN CONTROL</t>
        </is>
      </c>
      <c r="E91" t="n">
        <v>1</v>
      </c>
      <c r="F91" t="inlineStr">
        <is>
          <t>PAC (Brasil, nacionalizado)</t>
        </is>
      </c>
      <c r="G91" s="3" t="n"/>
      <c r="H91" s="4" t="n">
        <v>376.7276750701055</v>
      </c>
      <c r="I91" s="5" t="n">
        <v>2.313</v>
      </c>
      <c r="J91" t="inlineStr">
        <is>
          <t>High</t>
        </is>
      </c>
      <c r="K91" t="inlineStr">
        <is>
          <t>85364900</t>
        </is>
      </c>
      <c r="L91" t="inlineStr">
        <is>
          <t>4.5x5.25x4.5</t>
        </is>
      </c>
      <c r="M91" t="inlineStr"/>
    </row>
    <row r="92">
      <c r="A92" t="inlineStr">
        <is>
          <t>17LV66J10</t>
        </is>
      </c>
      <c r="B92" t="inlineStr">
        <is>
          <t>RELAYS</t>
        </is>
      </c>
      <c r="C92" t="inlineStr">
        <is>
          <t>Controls (MCA, train control, er etc)</t>
        </is>
      </c>
      <c r="D92" t="inlineStr">
        <is>
          <t>TRAIN CONTROL</t>
        </is>
      </c>
      <c r="E92" t="n">
        <v>1</v>
      </c>
      <c r="F92" t="inlineStr">
        <is>
          <t>PAC (Brasil, nacionalizado)</t>
        </is>
      </c>
      <c r="G92" s="3" t="n"/>
      <c r="H92" s="4" t="n">
        <v>358.9008553096465</v>
      </c>
      <c r="I92" s="5" t="n">
        <v>2.155</v>
      </c>
      <c r="J92" t="inlineStr">
        <is>
          <t>High</t>
        </is>
      </c>
      <c r="K92" t="inlineStr">
        <is>
          <t>85364900</t>
        </is>
      </c>
      <c r="L92" t="inlineStr">
        <is>
          <t>5.8x3.5x4.5</t>
        </is>
      </c>
      <c r="M92" t="inlineStr"/>
    </row>
    <row r="93">
      <c r="A93" t="inlineStr">
        <is>
          <t>41A296326DDP78</t>
        </is>
      </c>
      <c r="B93" t="inlineStr">
        <is>
          <t>GEW LAYER 3 ETH ERNET SWITCH POWER PLUG</t>
        </is>
      </c>
      <c r="C93" t="inlineStr">
        <is>
          <t>Controls (MCA, train control, er etc)</t>
        </is>
      </c>
      <c r="D93" t="inlineStr">
        <is>
          <t>MCA</t>
        </is>
      </c>
      <c r="E93" t="n">
        <v>1</v>
      </c>
      <c r="F93" t="inlineStr">
        <is>
          <t>PAC (Brasil, nacionalizado)</t>
        </is>
      </c>
      <c r="G93" s="3" t="n"/>
      <c r="H93" s="4" t="n">
        <v>335.094659697125</v>
      </c>
      <c r="I93" s="5" t="n">
        <v>0.045</v>
      </c>
      <c r="J93" t="inlineStr">
        <is>
          <t>High</t>
        </is>
      </c>
      <c r="K93" t="inlineStr">
        <is>
          <t>85366990</t>
        </is>
      </c>
      <c r="L93" t="inlineStr">
        <is>
          <t>3x1x2</t>
        </is>
      </c>
      <c r="M93" t="inlineStr"/>
    </row>
    <row r="94">
      <c r="A94" t="inlineStr">
        <is>
          <t>41A265714P22</t>
        </is>
      </c>
      <c r="B94" t="inlineStr">
        <is>
          <t>SOCKET CONTACT, .75"</t>
        </is>
      </c>
      <c r="C94" t="inlineStr">
        <is>
          <t>Controls (MCA, train control, er etc)</t>
        </is>
      </c>
      <c r="D94" t="inlineStr">
        <is>
          <t>Wiring</t>
        </is>
      </c>
      <c r="E94" t="n">
        <v>109</v>
      </c>
      <c r="F94" t="inlineStr">
        <is>
          <t>PAC (Brasil, nacionalizado)</t>
        </is>
      </c>
      <c r="G94" s="3" t="n"/>
      <c r="H94" s="4" t="n">
        <v>2.812453614444445</v>
      </c>
      <c r="I94" s="5" t="n">
        <v>0</v>
      </c>
      <c r="J94" t="inlineStr">
        <is>
          <t>High</t>
        </is>
      </c>
      <c r="K94" t="inlineStr">
        <is>
          <t>85369090</t>
        </is>
      </c>
      <c r="L94" t="inlineStr">
        <is>
          <t>0.75x0.1x0.1</t>
        </is>
      </c>
      <c r="M94" t="inlineStr"/>
    </row>
    <row r="95">
      <c r="A95" t="inlineStr">
        <is>
          <t>41A216641ABP139</t>
        </is>
      </c>
      <c r="B95" t="inlineStr">
        <is>
          <t>DISTRIBUTED POWER RADIO MODULE
BASE CONNECTOR</t>
        </is>
      </c>
      <c r="C95" t="inlineStr">
        <is>
          <t>Controls (MCA, train control, er etc)</t>
        </is>
      </c>
      <c r="D95" t="inlineStr">
        <is>
          <t>Wiring</t>
        </is>
      </c>
      <c r="E95" t="n">
        <v>1</v>
      </c>
      <c r="F95" t="inlineStr">
        <is>
          <t>PAC (Brasil, nacionalizado)</t>
        </is>
      </c>
      <c r="G95" s="3" t="n"/>
      <c r="H95" s="4" t="n">
        <v>282.4057662957609</v>
      </c>
      <c r="I95" s="5" t="n">
        <v>0.066</v>
      </c>
      <c r="J95" t="inlineStr">
        <is>
          <t>High</t>
        </is>
      </c>
      <c r="K95" t="inlineStr">
        <is>
          <t>85366990</t>
        </is>
      </c>
      <c r="L95" t="inlineStr">
        <is>
          <t>2.5x1.25x1.25</t>
        </is>
      </c>
      <c r="M95" t="inlineStr"/>
    </row>
    <row r="96">
      <c r="A96" t="inlineStr">
        <is>
          <t>84B104674ASP14</t>
        </is>
      </c>
      <c r="B96" t="inlineStr">
        <is>
          <t>AMBIENT AIR TEMPERATURE SENSOR
PLUG</t>
        </is>
      </c>
      <c r="C96" t="inlineStr">
        <is>
          <t>Controls (MCA, train control, er etc)</t>
        </is>
      </c>
      <c r="D96" t="inlineStr">
        <is>
          <t>MCA</t>
        </is>
      </c>
      <c r="E96" t="n">
        <v>1</v>
      </c>
      <c r="F96" t="inlineStr">
        <is>
          <t>PAC (Brasil, nacionalizado)</t>
        </is>
      </c>
      <c r="G96" s="3" t="n"/>
      <c r="H96" s="4" t="n">
        <v>262.7862444367175</v>
      </c>
      <c r="I96" s="5" t="n">
        <v>0.027</v>
      </c>
      <c r="J96" t="inlineStr">
        <is>
          <t>High</t>
        </is>
      </c>
      <c r="K96" t="inlineStr">
        <is>
          <t>85366990</t>
        </is>
      </c>
      <c r="L96" t="inlineStr">
        <is>
          <t>3.5x2x3.25</t>
        </is>
      </c>
      <c r="M96" t="inlineStr"/>
    </row>
    <row r="97">
      <c r="A97" t="inlineStr">
        <is>
          <t>41A316591P1</t>
        </is>
      </c>
      <c r="B97" t="inlineStr">
        <is>
          <t>Card Holder 3 Slot</t>
        </is>
      </c>
      <c r="C97" t="inlineStr">
        <is>
          <t>Controls (MCA, train control, er etc)</t>
        </is>
      </c>
      <c r="D97" t="inlineStr">
        <is>
          <t>TRAIN CONTROL</t>
        </is>
      </c>
      <c r="E97" t="n">
        <v>1</v>
      </c>
      <c r="F97" t="inlineStr">
        <is>
          <t>PAC (Brasil, nacionalizado)</t>
        </is>
      </c>
      <c r="G97" s="3" t="n"/>
      <c r="H97" s="4" t="n">
        <v>198.4070498284668</v>
      </c>
      <c r="I97" s="5" t="n">
        <v>1.315</v>
      </c>
      <c r="J97" t="inlineStr">
        <is>
          <t>High</t>
        </is>
      </c>
      <c r="K97" t="inlineStr">
        <is>
          <t>39269090</t>
        </is>
      </c>
      <c r="L97" t="inlineStr">
        <is>
          <t>17x1.25x12.625</t>
        </is>
      </c>
      <c r="M97" t="inlineStr"/>
    </row>
    <row r="98">
      <c r="A98" t="inlineStr">
        <is>
          <t>41A212414P31, 41A212414P3 2-Pole Option</t>
        </is>
      </c>
      <c r="B98" t="inlineStr">
        <is>
          <t>AUTOCOUPLER CIRCUIT BREAKER,  CCB(2A)</t>
        </is>
      </c>
      <c r="C98" t="inlineStr">
        <is>
          <t>Controls (MCA, train control, er etc)</t>
        </is>
      </c>
      <c r="D98" t="inlineStr">
        <is>
          <t>Circuit Breaker</t>
        </is>
      </c>
      <c r="E98" t="n">
        <v>1</v>
      </c>
      <c r="F98" t="inlineStr">
        <is>
          <t>Importado (EUA)</t>
        </is>
      </c>
      <c r="G98" s="3" t="n">
        <v>22.0206</v>
      </c>
      <c r="H98" s="4" t="n"/>
      <c r="I98" s="5" t="n">
        <v>0.093</v>
      </c>
      <c r="J98" t="inlineStr">
        <is>
          <t>High</t>
        </is>
      </c>
      <c r="K98" t="inlineStr">
        <is>
          <t>85362000</t>
        </is>
      </c>
      <c r="L98" t="inlineStr">
        <is>
          <t>2.5x0.65x3.05</t>
        </is>
      </c>
      <c r="M98" t="inlineStr"/>
    </row>
    <row r="99">
      <c r="A99" t="inlineStr">
        <is>
          <t>41A265713P22</t>
        </is>
      </c>
      <c r="B99" t="inlineStr">
        <is>
          <t>PIN</t>
        </is>
      </c>
      <c r="C99" t="inlineStr">
        <is>
          <t>Controls (MCA, train control, er etc)</t>
        </is>
      </c>
      <c r="D99" t="inlineStr">
        <is>
          <t>Wiring</t>
        </is>
      </c>
      <c r="E99" t="n">
        <v>82</v>
      </c>
      <c r="F99" t="inlineStr">
        <is>
          <t>PAC (Brasil, nacionalizado)</t>
        </is>
      </c>
      <c r="G99" s="3" t="n"/>
      <c r="H99" s="4" t="n">
        <v>2.091366466603</v>
      </c>
      <c r="I99" s="5" t="n">
        <v>0</v>
      </c>
      <c r="J99" t="inlineStr">
        <is>
          <t>High</t>
        </is>
      </c>
      <c r="K99" t="inlineStr">
        <is>
          <t>85389090</t>
        </is>
      </c>
      <c r="L99" t="inlineStr">
        <is>
          <t>1x0.001x0.001</t>
        </is>
      </c>
      <c r="M99" t="inlineStr"/>
    </row>
    <row r="100">
      <c r="A100" t="inlineStr">
        <is>
          <t>41A212414P3</t>
        </is>
      </c>
      <c r="B100" t="inlineStr">
        <is>
          <t>DYNAMIC BRAKE CIRCUIT BREAKER
(1P, 2A)</t>
        </is>
      </c>
      <c r="C100" t="inlineStr">
        <is>
          <t>Controls (MCA, train control, er etc)</t>
        </is>
      </c>
      <c r="D100" t="inlineStr">
        <is>
          <t>Circuit Breaker</t>
        </is>
      </c>
      <c r="E100" t="n">
        <v>1</v>
      </c>
      <c r="F100" t="inlineStr">
        <is>
          <t>PAC (Brasil, nacionalizado)</t>
        </is>
      </c>
      <c r="G100" s="3" t="n"/>
      <c r="H100" s="4" t="n">
        <v>153.88089446</v>
      </c>
      <c r="I100" s="5" t="n">
        <v>0.193</v>
      </c>
      <c r="J100" t="inlineStr">
        <is>
          <t>High</t>
        </is>
      </c>
      <c r="K100" t="inlineStr">
        <is>
          <t>85362000</t>
        </is>
      </c>
      <c r="L100" t="inlineStr">
        <is>
          <t>3.1x1.45x2.5</t>
        </is>
      </c>
      <c r="M100" t="inlineStr"/>
    </row>
    <row r="101">
      <c r="A101" t="inlineStr">
        <is>
          <t>41A212414P14</t>
        </is>
      </c>
      <c r="B101" t="inlineStr">
        <is>
          <t>PTC RADIO CIRCUIT BREAKER (2P,
15A)</t>
        </is>
      </c>
      <c r="C101" t="inlineStr">
        <is>
          <t>Controls (MCA, train control, er etc)</t>
        </is>
      </c>
      <c r="D101" t="inlineStr">
        <is>
          <t>Circuit Breaker</t>
        </is>
      </c>
      <c r="E101" t="n">
        <v>1</v>
      </c>
      <c r="F101" t="inlineStr">
        <is>
          <t>PAC (Brasil, nacionalizado)</t>
        </is>
      </c>
      <c r="G101" s="3" t="n"/>
      <c r="H101" s="4" t="n">
        <v>153.7357094511405</v>
      </c>
      <c r="I101" s="5" t="n">
        <v>0.195</v>
      </c>
      <c r="J101" t="inlineStr">
        <is>
          <t>High</t>
        </is>
      </c>
      <c r="K101" t="inlineStr">
        <is>
          <t>85362000</t>
        </is>
      </c>
      <c r="L101" t="inlineStr">
        <is>
          <t>2.5x1.5x3.25</t>
        </is>
      </c>
      <c r="M101" t="inlineStr"/>
    </row>
    <row r="102">
      <c r="A102" t="inlineStr">
        <is>
          <t>41A212414P15</t>
        </is>
      </c>
      <c r="B102" t="inlineStr">
        <is>
          <t>SMART DISPLAY #1 CIRCUIT BREAKER (2P, 6A)</t>
        </is>
      </c>
      <c r="C102" t="inlineStr">
        <is>
          <t>Controls (MCA, train control, er etc)</t>
        </is>
      </c>
      <c r="D102" t="inlineStr">
        <is>
          <t>Circuit Breaker</t>
        </is>
      </c>
      <c r="E102" t="n">
        <v>1</v>
      </c>
      <c r="F102" t="inlineStr">
        <is>
          <t>PAC (Brasil, nacionalizado)</t>
        </is>
      </c>
      <c r="G102" s="3" t="n"/>
      <c r="H102" s="4" t="n">
        <v>152.3867404431294</v>
      </c>
      <c r="I102" s="5" t="n">
        <v>0.2</v>
      </c>
      <c r="J102" t="inlineStr">
        <is>
          <t>High</t>
        </is>
      </c>
      <c r="K102" t="inlineStr">
        <is>
          <t>85362000</t>
        </is>
      </c>
      <c r="L102" t="inlineStr">
        <is>
          <t>2.5x1.5x2.5</t>
        </is>
      </c>
      <c r="M102" t="inlineStr"/>
    </row>
    <row r="103">
      <c r="A103" t="inlineStr">
        <is>
          <t>41A212414P5</t>
        </is>
      </c>
      <c r="B103" t="inlineStr">
        <is>
          <t>CABINET FANS BREAKER (2P, 5A) CBCB</t>
        </is>
      </c>
      <c r="C103" t="inlineStr">
        <is>
          <t>Controls (MCA, train control, er etc)</t>
        </is>
      </c>
      <c r="D103" t="inlineStr">
        <is>
          <t>Circuit Breaker</t>
        </is>
      </c>
      <c r="E103" t="n">
        <v>1</v>
      </c>
      <c r="F103" t="inlineStr">
        <is>
          <t>PAC (Brasil, nacionalizado)</t>
        </is>
      </c>
      <c r="G103" s="3" t="n"/>
      <c r="H103" s="4" t="n">
        <v>151.7252454611397</v>
      </c>
      <c r="I103" s="5" t="n">
        <v>0.191</v>
      </c>
      <c r="J103" t="inlineStr">
        <is>
          <t>High</t>
        </is>
      </c>
      <c r="K103" t="inlineStr">
        <is>
          <t>85362000</t>
        </is>
      </c>
      <c r="L103" t="inlineStr">
        <is>
          <t>2.5x1.5x3</t>
        </is>
      </c>
      <c r="M103" t="inlineStr"/>
    </row>
    <row r="104">
      <c r="A104" t="inlineStr">
        <is>
          <t>41A212414P4</t>
        </is>
      </c>
      <c r="B104" t="inlineStr">
        <is>
          <t>DC/DC #1 TL13 Side (1P, 10A)</t>
        </is>
      </c>
      <c r="C104" t="inlineStr">
        <is>
          <t>Controls (MCA, train control, er etc)</t>
        </is>
      </c>
      <c r="D104" t="inlineStr">
        <is>
          <t>Circuit Breaker</t>
        </is>
      </c>
      <c r="E104" t="n">
        <v>1</v>
      </c>
      <c r="F104" t="inlineStr">
        <is>
          <t>PAC (Brasil, nacionalizado)</t>
        </is>
      </c>
      <c r="G104" s="3" t="n"/>
      <c r="H104" s="4" t="n">
        <v>149.4393378845015</v>
      </c>
      <c r="I104" s="5" t="n">
        <v>0.212</v>
      </c>
      <c r="J104" t="inlineStr">
        <is>
          <t>High</t>
        </is>
      </c>
      <c r="K104" t="inlineStr">
        <is>
          <t>85362000</t>
        </is>
      </c>
      <c r="L104" t="inlineStr">
        <is>
          <t>2.5x1.5x3.25</t>
        </is>
      </c>
      <c r="M104" t="inlineStr"/>
    </row>
    <row r="105">
      <c r="A105" t="inlineStr">
        <is>
          <t>41A212414P2</t>
        </is>
      </c>
      <c r="B105" t="inlineStr">
        <is>
          <t>LIGHTING CIRCUIT BREAKER (2P, 30A)</t>
        </is>
      </c>
      <c r="C105" t="inlineStr">
        <is>
          <t>Controls (MCA, train control, er etc)</t>
        </is>
      </c>
      <c r="D105" t="inlineStr">
        <is>
          <t>Circuit Breaker</t>
        </is>
      </c>
      <c r="E105" t="n">
        <v>1</v>
      </c>
      <c r="F105" t="inlineStr">
        <is>
          <t>PAC (Brasil, nacionalizado)</t>
        </is>
      </c>
      <c r="G105" s="3" t="n"/>
      <c r="H105" s="4" t="n">
        <v>148.7452649547134</v>
      </c>
      <c r="I105" s="5" t="n">
        <v>0.188</v>
      </c>
      <c r="J105" t="inlineStr">
        <is>
          <t>High</t>
        </is>
      </c>
      <c r="K105" t="inlineStr">
        <is>
          <t>85362000</t>
        </is>
      </c>
      <c r="L105" t="inlineStr">
        <is>
          <t>3.1x1.45x2.5</t>
        </is>
      </c>
      <c r="M105" t="inlineStr"/>
    </row>
    <row r="106">
      <c r="A106" t="inlineStr">
        <is>
          <t>41A212414P8</t>
        </is>
      </c>
      <c r="B106" t="inlineStr">
        <is>
          <t>MULTI-TASK CIRCUIT BREAKER (2P, 25A)</t>
        </is>
      </c>
      <c r="C106" t="inlineStr">
        <is>
          <t>Controls (MCA, train control, er etc)</t>
        </is>
      </c>
      <c r="D106" t="inlineStr">
        <is>
          <t>Circuit Breaker</t>
        </is>
      </c>
      <c r="E106" t="n">
        <v>1</v>
      </c>
      <c r="F106" t="inlineStr">
        <is>
          <t>PAC (Brasil, nacionalizado)</t>
        </is>
      </c>
      <c r="G106" s="3" t="n"/>
      <c r="H106" s="4" t="n">
        <v>143.4047041185088</v>
      </c>
      <c r="I106" s="5" t="n">
        <v>0.196</v>
      </c>
      <c r="J106" t="inlineStr">
        <is>
          <t>High</t>
        </is>
      </c>
      <c r="K106" t="inlineStr">
        <is>
          <t>85362000</t>
        </is>
      </c>
      <c r="L106" t="inlineStr">
        <is>
          <t>3x1.5x2.5</t>
        </is>
      </c>
      <c r="M106" t="inlineStr"/>
    </row>
    <row r="107">
      <c r="A107" t="inlineStr">
        <is>
          <t>41A296326AUP1</t>
        </is>
      </c>
      <c r="B107" t="inlineStr">
        <is>
          <t>LOGIC POWER SUPPLY CONN (62 PIN)</t>
        </is>
      </c>
      <c r="C107" t="inlineStr">
        <is>
          <t>Controls (MCA, train control, er etc)</t>
        </is>
      </c>
      <c r="D107" t="inlineStr">
        <is>
          <t>Wiring</t>
        </is>
      </c>
      <c r="E107" t="n">
        <v>1</v>
      </c>
      <c r="F107" t="inlineStr">
        <is>
          <t>PAC (Brasil, nacionalizado)</t>
        </is>
      </c>
      <c r="G107" s="3" t="n"/>
      <c r="H107" s="4" t="n">
        <v>136.9356335604061</v>
      </c>
      <c r="I107" s="5" t="n">
        <v>0.145</v>
      </c>
      <c r="J107" t="inlineStr">
        <is>
          <t>High</t>
        </is>
      </c>
      <c r="K107" t="inlineStr">
        <is>
          <t>85369090</t>
        </is>
      </c>
      <c r="L107" t="inlineStr">
        <is>
          <t>6.375x6.375x1.5</t>
        </is>
      </c>
      <c r="M107" t="inlineStr"/>
    </row>
    <row r="108">
      <c r="A108" t="inlineStr">
        <is>
          <t>41A268255P4</t>
        </is>
      </c>
      <c r="B108" t="inlineStr">
        <is>
          <t>DIAGNOSTIC ACCESS SWITCH</t>
        </is>
      </c>
      <c r="C108" t="inlineStr">
        <is>
          <t>Controls (MCA, train control, er etc)</t>
        </is>
      </c>
      <c r="D108" t="inlineStr">
        <is>
          <t>TRAIN CONTROL</t>
        </is>
      </c>
      <c r="E108" t="n">
        <v>1</v>
      </c>
      <c r="F108" t="inlineStr">
        <is>
          <t>PAC (Brasil, nacionalizado)</t>
        </is>
      </c>
      <c r="G108" s="3" t="n"/>
      <c r="H108" s="4" t="n">
        <v>126.443864959191</v>
      </c>
      <c r="I108" s="5" t="n">
        <v>0.054</v>
      </c>
      <c r="J108" t="inlineStr">
        <is>
          <t>High</t>
        </is>
      </c>
      <c r="K108" t="inlineStr">
        <is>
          <t>85365090</t>
        </is>
      </c>
      <c r="L108" t="inlineStr">
        <is>
          <t>3.05x2.2x4.7</t>
        </is>
      </c>
      <c r="M108" t="inlineStr"/>
    </row>
    <row r="109">
      <c r="A109" t="inlineStr">
        <is>
          <t>41A250095G10</t>
        </is>
      </c>
      <c r="B109" t="inlineStr">
        <is>
          <t>TERMINAL BOARD (20 POINT)</t>
        </is>
      </c>
      <c r="C109" t="inlineStr">
        <is>
          <t>Controls (MCA, train control, er etc)</t>
        </is>
      </c>
      <c r="D109" t="inlineStr">
        <is>
          <t>TRAIN CONTROL</t>
        </is>
      </c>
      <c r="E109" t="n">
        <v>1</v>
      </c>
      <c r="F109" t="inlineStr">
        <is>
          <t>PAC (Brasil, nacionalizado)</t>
        </is>
      </c>
      <c r="G109" s="3" t="n"/>
      <c r="H109" s="4" t="n">
        <v>125.2602563270813</v>
      </c>
      <c r="I109" s="5" t="n">
        <v>0.281</v>
      </c>
      <c r="J109" t="inlineStr">
        <is>
          <t>High</t>
        </is>
      </c>
      <c r="K109" t="inlineStr">
        <is>
          <t>85369090</t>
        </is>
      </c>
      <c r="L109" t="inlineStr">
        <is>
          <t>12.75x3.375x2.75</t>
        </is>
      </c>
      <c r="M109" t="inlineStr"/>
    </row>
    <row r="110">
      <c r="A110" t="inlineStr">
        <is>
          <t>41A251900G1</t>
        </is>
      </c>
      <c r="B110" t="inlineStr">
        <is>
          <t>RADIO LOCKER TERMINAL BOARD (12 POINT)</t>
        </is>
      </c>
      <c r="C110" t="inlineStr">
        <is>
          <t>Controls (MCA, train control, er etc)</t>
        </is>
      </c>
      <c r="D110" t="inlineStr">
        <is>
          <t>TRAIN CONTROL</t>
        </is>
      </c>
      <c r="E110" t="n">
        <v>1</v>
      </c>
      <c r="F110" t="inlineStr">
        <is>
          <t>PAC (Brasil, nacionalizado)</t>
        </is>
      </c>
      <c r="G110" s="3" t="n"/>
      <c r="H110" s="4" t="n">
        <v>116.1669559361585</v>
      </c>
      <c r="I110" s="5" t="n">
        <v>0.186</v>
      </c>
      <c r="J110" t="inlineStr">
        <is>
          <t>High</t>
        </is>
      </c>
      <c r="K110" t="inlineStr">
        <is>
          <t>85369090</t>
        </is>
      </c>
      <c r="L110" t="inlineStr">
        <is>
          <t>8.125x1.625x2</t>
        </is>
      </c>
      <c r="M110" t="inlineStr"/>
    </row>
    <row r="111">
      <c r="A111" t="inlineStr">
        <is>
          <t>5373-219</t>
        </is>
      </c>
      <c r="B111" t="inlineStr">
        <is>
          <t>CONNECTOR, ELECTRICAL</t>
        </is>
      </c>
      <c r="C111" t="inlineStr">
        <is>
          <t>Controls (MCA, train control, er etc)</t>
        </is>
      </c>
      <c r="D111" t="inlineStr">
        <is>
          <t>Wiring</t>
        </is>
      </c>
      <c r="E111" t="n">
        <v>1</v>
      </c>
      <c r="F111" t="inlineStr">
        <is>
          <t>Importado (EUA)</t>
        </is>
      </c>
      <c r="G111" s="3" t="n">
        <v>13.66</v>
      </c>
      <c r="H111" s="4" t="n"/>
      <c r="M111" t="inlineStr"/>
    </row>
    <row r="112">
      <c r="A112" t="inlineStr">
        <is>
          <t>41A305772P1</t>
        </is>
      </c>
      <c r="B112" t="inlineStr">
        <is>
          <t>WORK LIGHT - SWITCH - #1 END (LIGHTING BREAKER)</t>
        </is>
      </c>
      <c r="C112" t="inlineStr">
        <is>
          <t>Power</t>
        </is>
      </c>
      <c r="D112" t="inlineStr">
        <is>
          <t>Circuit Breaker</t>
        </is>
      </c>
      <c r="E112" t="n">
        <v>1</v>
      </c>
      <c r="F112" t="inlineStr">
        <is>
          <t>PAC (Brasil, nacionalizado)</t>
        </is>
      </c>
      <c r="G112" s="3" t="n"/>
      <c r="H112" s="4" t="n">
        <v>108.111171329843</v>
      </c>
      <c r="I112" s="5" t="n">
        <v>0.023</v>
      </c>
      <c r="J112" t="inlineStr">
        <is>
          <t>High</t>
        </is>
      </c>
      <c r="K112" t="inlineStr">
        <is>
          <t>85365090</t>
        </is>
      </c>
      <c r="L112" t="inlineStr">
        <is>
          <t>1.7x0.95x1.75</t>
        </is>
      </c>
      <c r="M112" t="inlineStr"/>
    </row>
    <row r="113">
      <c r="A113" t="inlineStr">
        <is>
          <t>497A911P1</t>
        </is>
      </c>
      <c r="B113" t="inlineStr">
        <is>
          <t>STEP LIGHT SWITCH</t>
        </is>
      </c>
      <c r="C113" t="inlineStr">
        <is>
          <t>Controls (MCA, train control, er etc)</t>
        </is>
      </c>
      <c r="D113" t="inlineStr">
        <is>
          <t>TRAIN CONTROL</t>
        </is>
      </c>
      <c r="E113" t="n">
        <v>1</v>
      </c>
      <c r="F113" t="inlineStr">
        <is>
          <t>PAC (Brasil, nacionalizado)</t>
        </is>
      </c>
      <c r="G113" s="3" t="n"/>
      <c r="H113" s="4" t="n">
        <v>99.2119168891948</v>
      </c>
      <c r="I113" s="5" t="n">
        <v>0.051</v>
      </c>
      <c r="J113" t="inlineStr">
        <is>
          <t>High</t>
        </is>
      </c>
      <c r="K113" t="inlineStr">
        <is>
          <t>85365090</t>
        </is>
      </c>
      <c r="L113" t="inlineStr">
        <is>
          <t>2x1x2</t>
        </is>
      </c>
      <c r="M113" t="inlineStr"/>
    </row>
    <row r="114">
      <c r="A114" t="inlineStr">
        <is>
          <t>499A906AAP12</t>
        </is>
      </c>
      <c r="B114" t="inlineStr">
        <is>
          <t>NUT, HEX, NYLOCK, 8-32, GR5, Z</t>
        </is>
      </c>
      <c r="C114" t="inlineStr">
        <is>
          <t>SKID Assembly</t>
        </is>
      </c>
      <c r="D114" t="inlineStr">
        <is>
          <t>SKID (Skid)</t>
        </is>
      </c>
      <c r="E114" t="n">
        <v>14</v>
      </c>
      <c r="F114" t="inlineStr">
        <is>
          <t>PAC (Brasil, nacionalizado)</t>
        </is>
      </c>
      <c r="G114" s="3" t="n"/>
      <c r="H114" s="4" t="n">
        <v>5.807163164250667</v>
      </c>
      <c r="I114" s="5" t="n">
        <v>0.002</v>
      </c>
      <c r="J114" t="inlineStr">
        <is>
          <t>High</t>
        </is>
      </c>
      <c r="K114" t="inlineStr">
        <is>
          <t>73181600</t>
        </is>
      </c>
      <c r="L114" t="inlineStr">
        <is>
          <t>0.125x0.125x0.25</t>
        </is>
      </c>
      <c r="M114" t="inlineStr"/>
    </row>
    <row r="115">
      <c r="A115" t="inlineStr">
        <is>
          <t>84B519079G1</t>
        </is>
      </c>
      <c r="B115" t="inlineStr">
        <is>
          <t>MAIN RESERVOIR PRESSURE SENSOR
CONNECTOR</t>
        </is>
      </c>
      <c r="C115" t="inlineStr">
        <is>
          <t>Controls (MCA, train control, er etc)</t>
        </is>
      </c>
      <c r="D115" t="inlineStr">
        <is>
          <t>MCA</t>
        </is>
      </c>
      <c r="E115" t="n">
        <v>1</v>
      </c>
      <c r="F115" t="inlineStr">
        <is>
          <t>PAC (Brasil, nacionalizado)</t>
        </is>
      </c>
      <c r="G115" s="3" t="n"/>
      <c r="H115" s="4" t="n">
        <v>73.63900235560642</v>
      </c>
      <c r="I115" s="5" t="n">
        <v>0.136</v>
      </c>
      <c r="J115" t="inlineStr">
        <is>
          <t>High</t>
        </is>
      </c>
      <c r="K115" t="inlineStr">
        <is>
          <t>85369090</t>
        </is>
      </c>
      <c r="L115" t="inlineStr">
        <is>
          <t>4.5x1.48x1.48</t>
        </is>
      </c>
      <c r="M115" t="inlineStr"/>
    </row>
    <row r="116">
      <c r="A116" t="inlineStr">
        <is>
          <t>41A212414P39</t>
        </is>
      </c>
      <c r="B116" t="inlineStr">
        <is>
          <t>CONTROL SWITCH CIRCUIT BREAKER (1P, 30A)</t>
        </is>
      </c>
      <c r="C116" t="inlineStr">
        <is>
          <t>Controls (MCA, train control, er etc)</t>
        </is>
      </c>
      <c r="D116" t="inlineStr">
        <is>
          <t>Circuit Breaker</t>
        </is>
      </c>
      <c r="E116" t="n">
        <v>1</v>
      </c>
      <c r="F116" t="inlineStr">
        <is>
          <t>PAC (Brasil, nacionalizado)</t>
        </is>
      </c>
      <c r="G116" s="3" t="n"/>
      <c r="H116" s="4" t="n">
        <v>71.52577810125315</v>
      </c>
      <c r="I116" s="5" t="n">
        <v>0.113</v>
      </c>
      <c r="J116" t="inlineStr">
        <is>
          <t>High</t>
        </is>
      </c>
      <c r="K116" t="inlineStr">
        <is>
          <t>85362000</t>
        </is>
      </c>
      <c r="L116" t="inlineStr">
        <is>
          <t>3.05x0.7x2.45</t>
        </is>
      </c>
      <c r="M116" t="inlineStr"/>
    </row>
    <row r="117">
      <c r="A117" t="inlineStr">
        <is>
          <t>41A296328AAP5</t>
        </is>
      </c>
      <c r="B117" t="inlineStr">
        <is>
          <t>SENSOR, THERMISTOR TEMPERATURE PROBE</t>
        </is>
      </c>
      <c r="C117" t="inlineStr">
        <is>
          <t>Controls (MCA, train control, er etc)</t>
        </is>
      </c>
      <c r="D117" t="inlineStr">
        <is>
          <t>MCA</t>
        </is>
      </c>
      <c r="E117" t="n">
        <v>1</v>
      </c>
      <c r="F117" t="inlineStr">
        <is>
          <t>PAC (Brasil, nacionalizado)</t>
        </is>
      </c>
      <c r="G117" s="3" t="n"/>
      <c r="H117" s="4" t="n">
        <v>69.474640858737</v>
      </c>
      <c r="I117" s="5" t="n">
        <v>0.023</v>
      </c>
      <c r="J117" t="inlineStr">
        <is>
          <t>High</t>
        </is>
      </c>
      <c r="K117" t="inlineStr">
        <is>
          <t>90251990</t>
        </is>
      </c>
      <c r="L117" t="inlineStr">
        <is>
          <t>2.5x1x1</t>
        </is>
      </c>
      <c r="M117" t="inlineStr"/>
    </row>
    <row r="118">
      <c r="A118" t="inlineStr">
        <is>
          <t>41A216641AMP109</t>
        </is>
      </c>
      <c r="B118" t="inlineStr">
        <is>
          <t>Contact</t>
        </is>
      </c>
      <c r="C118" t="inlineStr">
        <is>
          <t>Controls (MCA, train control, er etc)</t>
        </is>
      </c>
      <c r="D118" t="inlineStr">
        <is>
          <t>Wiring</t>
        </is>
      </c>
      <c r="E118" t="n">
        <v>12</v>
      </c>
      <c r="F118" t="inlineStr">
        <is>
          <t>PAC (Brasil, nacionalizado)</t>
        </is>
      </c>
      <c r="G118" s="3" t="n"/>
      <c r="H118" s="4" t="n">
        <v>5.4707118625</v>
      </c>
      <c r="I118" s="5" t="n">
        <v>0</v>
      </c>
      <c r="J118" t="inlineStr">
        <is>
          <t>High</t>
        </is>
      </c>
      <c r="K118" t="inlineStr">
        <is>
          <t>85364900</t>
        </is>
      </c>
      <c r="L118" t="inlineStr">
        <is>
          <t>1x0.001x0.001</t>
        </is>
      </c>
      <c r="M118" t="inlineStr"/>
    </row>
    <row r="119">
      <c r="A119" t="inlineStr">
        <is>
          <t>41A265616P52</t>
        </is>
      </c>
      <c r="B119" t="inlineStr">
        <is>
          <t>Ring Terminal</t>
        </is>
      </c>
      <c r="C119" t="inlineStr">
        <is>
          <t>Controls (MCA, train control, er etc)</t>
        </is>
      </c>
      <c r="D119" t="inlineStr">
        <is>
          <t>Wiring</t>
        </is>
      </c>
      <c r="E119" t="n">
        <v>4</v>
      </c>
      <c r="F119" t="inlineStr">
        <is>
          <t>PAC (Brasil, nacionalizado)</t>
        </is>
      </c>
      <c r="G119" s="3" t="n"/>
      <c r="H119" s="4" t="n">
        <v>15.50629491024533</v>
      </c>
      <c r="I119" s="5" t="n">
        <v>0.039</v>
      </c>
      <c r="J119" t="inlineStr">
        <is>
          <t>High</t>
        </is>
      </c>
      <c r="K119" t="inlineStr">
        <is>
          <t>85369090</t>
        </is>
      </c>
      <c r="L119" t="inlineStr">
        <is>
          <t>3.75x4.15x7.5</t>
        </is>
      </c>
      <c r="M119" t="inlineStr"/>
    </row>
    <row r="120">
      <c r="A120" t="inlineStr">
        <is>
          <t>41A271471P61</t>
        </is>
      </c>
      <c r="B120" t="inlineStr">
        <is>
          <t>TRAINLINE RESISTOR PANEL CONN</t>
        </is>
      </c>
      <c r="C120" t="inlineStr">
        <is>
          <t>Controls (MCA, train control, er etc)</t>
        </is>
      </c>
      <c r="D120" t="inlineStr">
        <is>
          <t>Wiring</t>
        </is>
      </c>
      <c r="E120" t="n">
        <v>1</v>
      </c>
      <c r="F120" t="inlineStr">
        <is>
          <t>PAC (Brasil, nacionalizado)</t>
        </is>
      </c>
      <c r="G120" s="3" t="n"/>
      <c r="H120" s="4" t="n">
        <v>58.45426968419057</v>
      </c>
      <c r="I120" s="5" t="n">
        <v>0.029</v>
      </c>
      <c r="J120" t="inlineStr">
        <is>
          <t>High</t>
        </is>
      </c>
      <c r="K120" t="inlineStr">
        <is>
          <t>85366990</t>
        </is>
      </c>
      <c r="L120" t="inlineStr">
        <is>
          <t>1.75x0.375x1.75</t>
        </is>
      </c>
      <c r="M120" t="inlineStr"/>
    </row>
    <row r="121">
      <c r="A121" t="inlineStr">
        <is>
          <t>41A271474P17</t>
        </is>
      </c>
      <c r="B121" t="inlineStr">
        <is>
          <t>AUX SHEET CONNECTOR</t>
        </is>
      </c>
      <c r="C121" t="inlineStr">
        <is>
          <t>Controls (MCA, train control, er etc)</t>
        </is>
      </c>
      <c r="D121" t="inlineStr">
        <is>
          <t>Wiring</t>
        </is>
      </c>
      <c r="E121" t="n">
        <v>1</v>
      </c>
      <c r="F121" t="inlineStr">
        <is>
          <t>PAC (Brasil, nacionalizado)</t>
        </is>
      </c>
      <c r="G121" s="3" t="n"/>
      <c r="H121" s="4" t="n">
        <v>42.103764342222</v>
      </c>
      <c r="I121" s="5" t="n">
        <v>0.045</v>
      </c>
      <c r="J121" t="inlineStr">
        <is>
          <t>High</t>
        </is>
      </c>
      <c r="K121" t="inlineStr">
        <is>
          <t>85359090</t>
        </is>
      </c>
      <c r="L121" t="inlineStr">
        <is>
          <t>1.55x1x1</t>
        </is>
      </c>
      <c r="M121" t="inlineStr"/>
    </row>
    <row r="122">
      <c r="A122" t="inlineStr">
        <is>
          <t>84B514977G1</t>
        </is>
      </c>
      <c r="B122" t="inlineStr">
        <is>
          <t>CONNECTION ASM</t>
        </is>
      </c>
      <c r="C122" t="inlineStr">
        <is>
          <t>Controls (MCA, train control, er etc)</t>
        </is>
      </c>
      <c r="D122" t="inlineStr">
        <is>
          <t>MCA</t>
        </is>
      </c>
      <c r="E122" t="n">
        <v>1</v>
      </c>
      <c r="F122" t="inlineStr">
        <is>
          <t>PAC (Brasil, nacionalizado)</t>
        </is>
      </c>
      <c r="G122" s="3" t="n"/>
      <c r="H122" s="4" t="n">
        <v>41.81244988731875</v>
      </c>
      <c r="I122" s="5" t="n">
        <v>0.023</v>
      </c>
      <c r="J122" t="inlineStr">
        <is>
          <t>High</t>
        </is>
      </c>
      <c r="K122" t="inlineStr">
        <is>
          <t>85319000</t>
        </is>
      </c>
      <c r="L122" t="inlineStr">
        <is>
          <t>1.25x0.75x0.75</t>
        </is>
      </c>
      <c r="M122" t="inlineStr"/>
    </row>
    <row r="123">
      <c r="A123" t="inlineStr">
        <is>
          <t>41A271474P13</t>
        </is>
      </c>
      <c r="B123" t="inlineStr">
        <is>
          <t>AUX SHEET CONNECTOR - PIN</t>
        </is>
      </c>
      <c r="C123" t="inlineStr">
        <is>
          <t>Controls (MCA, train control, er etc)</t>
        </is>
      </c>
      <c r="D123" t="inlineStr">
        <is>
          <t>Wiring</t>
        </is>
      </c>
      <c r="E123" t="n">
        <v>1</v>
      </c>
      <c r="F123" t="inlineStr">
        <is>
          <t>PAC (Brasil, nacionalizado)</t>
        </is>
      </c>
      <c r="G123" s="3" t="n"/>
      <c r="H123" s="4" t="n">
        <v>35.50344794</v>
      </c>
      <c r="I123" s="5" t="n">
        <v>0.041</v>
      </c>
      <c r="J123" t="inlineStr">
        <is>
          <t>High</t>
        </is>
      </c>
      <c r="K123" t="inlineStr">
        <is>
          <t>85369090</t>
        </is>
      </c>
      <c r="L123" t="inlineStr">
        <is>
          <t>2x1x1</t>
        </is>
      </c>
      <c r="M123" t="inlineStr"/>
    </row>
    <row r="124">
      <c r="A124" t="inlineStr">
        <is>
          <t>41A271471P24</t>
        </is>
      </c>
      <c r="B124" t="inlineStr">
        <is>
          <t>AMP, Cable Clamp Kit, Thermoplastic, Black, 17 Shell Size,</t>
        </is>
      </c>
      <c r="C124" t="inlineStr">
        <is>
          <t>SKID Assembly</t>
        </is>
      </c>
      <c r="D124" t="inlineStr">
        <is>
          <t>Controls (MCA, train control, er etc)</t>
        </is>
      </c>
      <c r="E124" t="n">
        <v>2</v>
      </c>
      <c r="F124" t="inlineStr">
        <is>
          <t>PAC (Brasil, nacionalizado)</t>
        </is>
      </c>
      <c r="G124" s="3" t="n"/>
      <c r="H124" s="4" t="n">
        <v>15.87167340642857</v>
      </c>
      <c r="I124" s="5" t="n">
        <v>0.023</v>
      </c>
      <c r="J124" t="inlineStr">
        <is>
          <t>High</t>
        </is>
      </c>
      <c r="K124" t="inlineStr">
        <is>
          <t>85366990</t>
        </is>
      </c>
      <c r="L124" t="inlineStr">
        <is>
          <t>5.1x1.15x2.95</t>
        </is>
      </c>
      <c r="M124" t="inlineStr"/>
    </row>
    <row r="125">
      <c r="A125" t="inlineStr">
        <is>
          <t>41A296326BUP3</t>
        </is>
      </c>
      <c r="B125" t="inlineStr">
        <is>
          <t>Contact for 14-18 AWG wire (41A296326AUP1),
insulation OD .110-.150, with
secondary locking type
connector plug</t>
        </is>
      </c>
      <c r="C125" t="inlineStr">
        <is>
          <t>Controls (MCA, train control, er etc)</t>
        </is>
      </c>
      <c r="D125" t="inlineStr">
        <is>
          <t>Wiring</t>
        </is>
      </c>
      <c r="E125" t="n">
        <v>9</v>
      </c>
      <c r="F125" t="inlineStr">
        <is>
          <t>PAC (Brasil, nacionalizado)</t>
        </is>
      </c>
      <c r="G125" s="3" t="n"/>
      <c r="H125" s="4" t="n">
        <v>2.6747814998497</v>
      </c>
      <c r="I125" s="5" t="n">
        <v>0</v>
      </c>
      <c r="J125" t="inlineStr">
        <is>
          <t>High</t>
        </is>
      </c>
      <c r="K125" t="inlineStr">
        <is>
          <t>85389090</t>
        </is>
      </c>
      <c r="L125" t="inlineStr">
        <is>
          <t>1x0.1x0.1</t>
        </is>
      </c>
      <c r="M125" t="inlineStr"/>
    </row>
    <row r="126">
      <c r="A126" t="inlineStr">
        <is>
          <t>N80P15016B13</t>
        </is>
      </c>
      <c r="B126" t="inlineStr">
        <is>
          <t>SCREW, PHP, 8-32 X 1, GR5, Z</t>
        </is>
      </c>
      <c r="C126" t="inlineStr">
        <is>
          <t>SKID Assembly</t>
        </is>
      </c>
      <c r="D126" t="inlineStr">
        <is>
          <t>SKID (Skid)</t>
        </is>
      </c>
      <c r="E126" t="n">
        <v>16</v>
      </c>
      <c r="F126" t="inlineStr">
        <is>
          <t>PAC (Brasil, nacionalizado)</t>
        </is>
      </c>
      <c r="G126" s="3" t="n"/>
      <c r="H126" s="4" t="n">
        <v>1.259049427493</v>
      </c>
      <c r="I126" s="5" t="n">
        <v>0.005</v>
      </c>
      <c r="J126" t="inlineStr">
        <is>
          <t>High</t>
        </is>
      </c>
      <c r="K126" t="inlineStr">
        <is>
          <t>73181500</t>
        </is>
      </c>
      <c r="L126" t="inlineStr">
        <is>
          <t>1.125x0.25x0.25</t>
        </is>
      </c>
      <c r="M126" t="inlineStr"/>
    </row>
    <row r="127">
      <c r="A127" t="inlineStr">
        <is>
          <t>41A271471P24/38</t>
        </is>
      </c>
      <c r="B127" t="inlineStr">
        <is>
          <t>HPEAP DISCRETE CONNECTOR Backshell</t>
        </is>
      </c>
      <c r="C127" t="inlineStr">
        <is>
          <t>Controls (MCA, train control, er etc)</t>
        </is>
      </c>
      <c r="D127" t="inlineStr">
        <is>
          <t>Wiring</t>
        </is>
      </c>
      <c r="E127" t="n">
        <v>1</v>
      </c>
      <c r="F127" t="inlineStr">
        <is>
          <t>Importado (EUA)</t>
        </is>
      </c>
      <c r="G127" s="3" t="n">
        <v>1.9294</v>
      </c>
      <c r="H127" s="4" t="n"/>
      <c r="I127" s="5" t="n">
        <v>0.023</v>
      </c>
      <c r="J127" t="inlineStr">
        <is>
          <t>High</t>
        </is>
      </c>
      <c r="K127" t="inlineStr">
        <is>
          <t>85366990</t>
        </is>
      </c>
      <c r="L127" t="inlineStr">
        <is>
          <t>5.1x1.15x2.95</t>
        </is>
      </c>
      <c r="M127" t="inlineStr"/>
    </row>
    <row r="128">
      <c r="A128" t="inlineStr">
        <is>
          <t>41A271471P35</t>
        </is>
      </c>
      <c r="B128" t="inlineStr">
        <is>
          <t>CONNECTOR (24 SOCKET)</t>
        </is>
      </c>
      <c r="C128" t="inlineStr">
        <is>
          <t>Controls (MCA, train control, er etc)</t>
        </is>
      </c>
      <c r="D128" t="inlineStr">
        <is>
          <t>Wiring</t>
        </is>
      </c>
      <c r="E128" t="n">
        <v>1</v>
      </c>
      <c r="F128" t="inlineStr">
        <is>
          <t>PAC (Brasil, nacionalizado)</t>
        </is>
      </c>
      <c r="G128" s="3" t="n"/>
      <c r="H128" s="4" t="n">
        <v>14.20340068983467</v>
      </c>
      <c r="I128" s="5" t="n">
        <v>0.027</v>
      </c>
      <c r="J128" t="inlineStr">
        <is>
          <t>High</t>
        </is>
      </c>
      <c r="K128" t="inlineStr">
        <is>
          <t>85366990</t>
        </is>
      </c>
      <c r="L128" t="inlineStr">
        <is>
          <t>1.65x1.05x1.65</t>
        </is>
      </c>
      <c r="M128" t="inlineStr"/>
    </row>
    <row r="129">
      <c r="A129" t="inlineStr">
        <is>
          <t>41A271471P16</t>
        </is>
      </c>
      <c r="B129" t="inlineStr">
        <is>
          <t>SPEED SENSORS (1-3)/(4-6) CONNECTOR
(37 SOCKET)</t>
        </is>
      </c>
      <c r="C129" t="inlineStr">
        <is>
          <t>Controls (MCA, train control, er etc)</t>
        </is>
      </c>
      <c r="D129" t="inlineStr">
        <is>
          <t>Wiring</t>
        </is>
      </c>
      <c r="E129" t="n">
        <v>1</v>
      </c>
      <c r="F129" t="inlineStr">
        <is>
          <t>PAC (Brasil, nacionalizado)</t>
        </is>
      </c>
      <c r="G129" s="3" t="n"/>
      <c r="H129" s="4" t="n">
        <v>13.12510371189</v>
      </c>
      <c r="I129" s="5" t="n">
        <v>0.025</v>
      </c>
      <c r="J129" t="inlineStr">
        <is>
          <t>High</t>
        </is>
      </c>
      <c r="K129" t="inlineStr">
        <is>
          <t>85366990</t>
        </is>
      </c>
      <c r="L129" t="inlineStr">
        <is>
          <t>1.6x1.05x1.7</t>
        </is>
      </c>
      <c r="M129" t="inlineStr"/>
    </row>
    <row r="130">
      <c r="A130" t="inlineStr">
        <is>
          <t>41A271471P22</t>
        </is>
      </c>
      <c r="B130" t="inlineStr">
        <is>
          <t>GROUND MEASURING MODULE
CONNECTOR</t>
        </is>
      </c>
      <c r="C130" t="inlineStr">
        <is>
          <t>Controls (MCA, train control, er etc)</t>
        </is>
      </c>
      <c r="D130" t="inlineStr">
        <is>
          <t>TRAIN CONTROL</t>
        </is>
      </c>
      <c r="E130" t="n">
        <v>1</v>
      </c>
      <c r="F130" t="inlineStr">
        <is>
          <t>PAC (Brasil, nacionalizado)</t>
        </is>
      </c>
      <c r="G130" s="3" t="n"/>
      <c r="H130" s="4" t="n">
        <v>12.61859220518725</v>
      </c>
      <c r="I130" s="5" t="n">
        <v>0.014</v>
      </c>
      <c r="J130" t="inlineStr">
        <is>
          <t>High</t>
        </is>
      </c>
      <c r="K130" t="inlineStr">
        <is>
          <t>85366990</t>
        </is>
      </c>
      <c r="L130" t="inlineStr">
        <is>
          <t>1.25x1.05x1.3</t>
        </is>
      </c>
      <c r="M130" t="inlineStr"/>
    </row>
    <row r="131">
      <c r="A131" t="inlineStr">
        <is>
          <t>41A271471P40</t>
        </is>
      </c>
      <c r="B131" t="inlineStr">
        <is>
          <t>TRAINLINE RESISTOR PANEL CONN BACKSHELL</t>
        </is>
      </c>
      <c r="C131" t="inlineStr">
        <is>
          <t>Controls (MCA, train control, er etc)</t>
        </is>
      </c>
      <c r="D131" t="inlineStr">
        <is>
          <t>Wiring</t>
        </is>
      </c>
      <c r="E131" t="n">
        <v>1</v>
      </c>
      <c r="F131" t="inlineStr">
        <is>
          <t>PAC (Brasil, nacionalizado)</t>
        </is>
      </c>
      <c r="G131" s="3" t="n"/>
      <c r="H131" s="4" t="n">
        <v>12.51965952557345</v>
      </c>
      <c r="I131" s="5" t="n">
        <v>0.041</v>
      </c>
      <c r="J131" t="inlineStr">
        <is>
          <t>High</t>
        </is>
      </c>
      <c r="K131" t="inlineStr">
        <is>
          <t>85369090</t>
        </is>
      </c>
      <c r="L131" t="inlineStr">
        <is>
          <t>7.1x2.9x6.45</t>
        </is>
      </c>
      <c r="M131" t="inlineStr"/>
    </row>
    <row r="132">
      <c r="A132" t="inlineStr">
        <is>
          <t>41A281695P1</t>
        </is>
      </c>
      <c r="B132" t="inlineStr">
        <is>
          <t>RESISTOR</t>
        </is>
      </c>
      <c r="C132" t="inlineStr">
        <is>
          <t>Controls (MCA, train control, er etc)</t>
        </is>
      </c>
      <c r="D132" t="inlineStr">
        <is>
          <t>TRAIN CONTROL</t>
        </is>
      </c>
      <c r="E132" t="n">
        <v>1</v>
      </c>
      <c r="F132" t="inlineStr">
        <is>
          <t>PAC (Brasil, nacionalizado)</t>
        </is>
      </c>
      <c r="G132" s="3" t="n"/>
      <c r="H132" s="4" t="n">
        <v>9.854416569066499</v>
      </c>
      <c r="I132" s="5" t="n">
        <v>0.043</v>
      </c>
      <c r="J132" t="inlineStr">
        <is>
          <t>High</t>
        </is>
      </c>
      <c r="K132" t="inlineStr">
        <is>
          <t>85332900</t>
        </is>
      </c>
      <c r="L132" t="inlineStr">
        <is>
          <t>4x0.5x1</t>
        </is>
      </c>
      <c r="M132" t="inlineStr"/>
    </row>
    <row r="133">
      <c r="A133" t="inlineStr">
        <is>
          <t>N402P8B13</t>
        </is>
      </c>
      <c r="B133" t="inlineStr">
        <is>
          <t>WASHER, FLAT, #8, GR5, Z</t>
        </is>
      </c>
      <c r="C133" t="inlineStr">
        <is>
          <t>SKID Assembly</t>
        </is>
      </c>
      <c r="D133" t="inlineStr">
        <is>
          <t>SKID (Skid)</t>
        </is>
      </c>
      <c r="E133" t="n">
        <v>16</v>
      </c>
      <c r="F133" t="inlineStr">
        <is>
          <t>PAC (Brasil, nacionalizado)</t>
        </is>
      </c>
      <c r="G133" s="3" t="n"/>
      <c r="H133" s="4" t="n">
        <v>0.5005605610501428</v>
      </c>
      <c r="I133" s="5" t="n">
        <v>0</v>
      </c>
      <c r="J133" t="inlineStr">
        <is>
          <t>High</t>
        </is>
      </c>
      <c r="K133" t="inlineStr">
        <is>
          <t>73182200</t>
        </is>
      </c>
      <c r="L133" t="inlineStr">
        <is>
          <t>0.25x0.005x0.25</t>
        </is>
      </c>
      <c r="M133" t="inlineStr"/>
    </row>
    <row r="134">
      <c r="A134" t="inlineStr">
        <is>
          <t>41A265714P12</t>
        </is>
      </c>
      <c r="B134" t="inlineStr">
        <is>
          <t>Contact, .4in</t>
        </is>
      </c>
      <c r="C134" t="inlineStr">
        <is>
          <t>Controls (MCA, train control, er etc)</t>
        </is>
      </c>
      <c r="D134" t="inlineStr">
        <is>
          <t>Wiring</t>
        </is>
      </c>
      <c r="E134" t="n">
        <v>4</v>
      </c>
      <c r="F134" t="inlineStr">
        <is>
          <t>PAC (Brasil, nacionalizado)</t>
        </is>
      </c>
      <c r="G134" s="3" t="n"/>
      <c r="H134" s="4" t="n">
        <v>1.836323915118778</v>
      </c>
      <c r="I134" s="5" t="n">
        <v>0</v>
      </c>
      <c r="J134" t="inlineStr">
        <is>
          <t>High</t>
        </is>
      </c>
      <c r="K134" t="inlineStr">
        <is>
          <t>85389090</t>
        </is>
      </c>
      <c r="L134" t="inlineStr">
        <is>
          <t>0.4x0.3x1</t>
        </is>
      </c>
      <c r="M134" t="inlineStr"/>
    </row>
    <row r="135">
      <c r="A135" t="inlineStr">
        <is>
          <t>482A444ASP48</t>
        </is>
      </c>
      <c r="B135" t="inlineStr">
        <is>
          <t>PTC PULL UP RESISTOR</t>
        </is>
      </c>
      <c r="C135" t="inlineStr">
        <is>
          <t>PTC</t>
        </is>
      </c>
      <c r="D135" t="inlineStr">
        <is>
          <t>PTC</t>
        </is>
      </c>
      <c r="E135" t="n">
        <v>1</v>
      </c>
      <c r="F135" t="inlineStr">
        <is>
          <t>PAC (Brasil, nacionalizado)</t>
        </is>
      </c>
      <c r="G135" s="3" t="n"/>
      <c r="H135" s="4" t="n">
        <v>5.41762752</v>
      </c>
      <c r="I135" s="5" t="n">
        <v>0.02</v>
      </c>
      <c r="J135" t="inlineStr">
        <is>
          <t>High</t>
        </is>
      </c>
      <c r="K135" t="inlineStr">
        <is>
          <t>85332900</t>
        </is>
      </c>
      <c r="L135" t="inlineStr">
        <is>
          <t>1.95x0.55x1</t>
        </is>
      </c>
      <c r="M135" t="inlineStr"/>
    </row>
    <row r="136">
      <c r="A136" t="inlineStr">
        <is>
          <t>41A296326AKP5</t>
        </is>
      </c>
      <c r="B136" t="inlineStr">
        <is>
          <t>Power Plug for the TCD</t>
        </is>
      </c>
      <c r="C136" t="inlineStr">
        <is>
          <t>Controls (MCA, train control, er etc)</t>
        </is>
      </c>
      <c r="D136" t="inlineStr">
        <is>
          <t>Wiring</t>
        </is>
      </c>
      <c r="E136" t="n">
        <v>1</v>
      </c>
      <c r="F136" t="inlineStr">
        <is>
          <t>PAC (Brasil, nacionalizado)</t>
        </is>
      </c>
      <c r="G136" s="3" t="n"/>
      <c r="H136" s="4" t="n">
        <v>5.183658981166286</v>
      </c>
      <c r="I136" s="5" t="n">
        <v>0.002</v>
      </c>
      <c r="J136" t="inlineStr">
        <is>
          <t>High</t>
        </is>
      </c>
      <c r="K136" t="inlineStr">
        <is>
          <t>85389090</t>
        </is>
      </c>
      <c r="L136" t="inlineStr">
        <is>
          <t>0.85x0.3x1</t>
        </is>
      </c>
      <c r="M136" t="inlineStr"/>
    </row>
    <row r="137">
      <c r="A137" t="inlineStr">
        <is>
          <t>41A296326AMP52</t>
        </is>
      </c>
      <c r="B137" t="inlineStr">
        <is>
          <t>Crimp Type Contact Pin</t>
        </is>
      </c>
      <c r="C137" t="inlineStr">
        <is>
          <t>Controls (MCA, train control, er etc)</t>
        </is>
      </c>
      <c r="D137" t="inlineStr">
        <is>
          <t>Wiring</t>
        </is>
      </c>
      <c r="E137" t="n">
        <v>5</v>
      </c>
      <c r="F137" t="inlineStr">
        <is>
          <t>PAC (Brasil, nacionalizado)</t>
        </is>
      </c>
      <c r="G137" s="3" t="n"/>
      <c r="H137" s="4" t="n">
        <v>0.275201176072</v>
      </c>
      <c r="I137" s="5" t="n">
        <v>0</v>
      </c>
      <c r="J137" t="inlineStr">
        <is>
          <t>High</t>
        </is>
      </c>
      <c r="K137" t="inlineStr">
        <is>
          <t>85369090</t>
        </is>
      </c>
      <c r="L137" t="inlineStr">
        <is>
          <t>0.05x0.05x0.1</t>
        </is>
      </c>
      <c r="M137" t="inlineStr"/>
    </row>
    <row r="138">
      <c r="A138" t="inlineStr">
        <is>
          <t>499A906AAP2</t>
        </is>
      </c>
      <c r="B138" t="inlineStr">
        <is>
          <t>NUT, HEX, NYLOCK, 1/4-20, GR5, Z</t>
        </is>
      </c>
      <c r="C138" t="inlineStr">
        <is>
          <t>SKID Assembly</t>
        </is>
      </c>
      <c r="D138" t="inlineStr">
        <is>
          <t>SKID (Skid)</t>
        </is>
      </c>
      <c r="E138" t="n">
        <v>1</v>
      </c>
      <c r="F138" t="inlineStr">
        <is>
          <t>PAC (Brasil, nacionalizado)</t>
        </is>
      </c>
      <c r="G138" s="3" t="n"/>
      <c r="H138" s="4" t="n">
        <v>0.374666311425375</v>
      </c>
      <c r="I138" s="5" t="n">
        <v>0.002</v>
      </c>
      <c r="J138" t="inlineStr">
        <is>
          <t>High</t>
        </is>
      </c>
      <c r="K138" t="inlineStr">
        <is>
          <t>73181600</t>
        </is>
      </c>
      <c r="L138" t="inlineStr">
        <is>
          <t>0.05x0.05x0.05</t>
        </is>
      </c>
      <c r="M138" t="inlineStr"/>
    </row>
    <row r="139">
      <c r="A139" t="inlineStr">
        <is>
          <t>41A296352DNP73</t>
        </is>
      </c>
      <c r="B139" t="inlineStr">
        <is>
          <t>CABLE: GROUND S TRAP</t>
        </is>
      </c>
      <c r="C139" t="inlineStr">
        <is>
          <t>Controls (MCA, train control, er etc)</t>
        </is>
      </c>
      <c r="D139" t="inlineStr">
        <is>
          <t>MCA</t>
        </is>
      </c>
      <c r="E139" t="n">
        <v>1</v>
      </c>
      <c r="F139" t="inlineStr">
        <is>
          <t>Importado (EUA)</t>
        </is>
      </c>
      <c r="G139" s="3" t="n">
        <v>0.01</v>
      </c>
      <c r="H139" s="4" t="n"/>
      <c r="M139" t="inlineStr"/>
    </row>
    <row r="140">
      <c r="A140" t="inlineStr">
        <is>
          <t>41A296352DNP96</t>
        </is>
      </c>
      <c r="B140" t="inlineStr">
        <is>
          <t>Cable: CRM Ethernet Switch to ACC</t>
        </is>
      </c>
      <c r="C140" t="inlineStr">
        <is>
          <t>Controls (MCA, train control, er etc)</t>
        </is>
      </c>
      <c r="D140" t="inlineStr">
        <is>
          <t>MCA</t>
        </is>
      </c>
      <c r="E140" t="n">
        <v>1</v>
      </c>
      <c r="F140" t="inlineStr">
        <is>
          <t>Importado (EUA)</t>
        </is>
      </c>
      <c r="G140" s="3" t="n">
        <v>0.01</v>
      </c>
      <c r="H140" s="4" t="n"/>
      <c r="M140" t="inlineStr"/>
    </row>
    <row r="141">
      <c r="A141" t="inlineStr">
        <is>
          <t>41A296352DNP57</t>
        </is>
      </c>
      <c r="B141" t="inlineStr">
        <is>
          <t>REMOTE HEAD - VOICE RADIO RITRON</t>
        </is>
      </c>
      <c r="C141" t="inlineStr">
        <is>
          <t>Connectivity</t>
        </is>
      </c>
      <c r="D141" t="inlineStr">
        <is>
          <t>VOICE RADIO</t>
        </is>
      </c>
      <c r="E141" t="n">
        <v>1</v>
      </c>
      <c r="F141" t="inlineStr">
        <is>
          <t>Incluso / sem custo separado</t>
        </is>
      </c>
      <c r="G141" s="3" t="n"/>
      <c r="H141" s="4" t="n"/>
      <c r="M141" t="inlineStr">
        <is>
          <t>Quotation pending (no USD or BRL price)</t>
        </is>
      </c>
    </row>
    <row r="142">
      <c r="A142" t="inlineStr">
        <is>
          <t>41A296326CYP77</t>
        </is>
      </c>
      <c r="B142" t="inlineStr">
        <is>
          <t>M12-A_ MALE_ 8-PIN_ STRAIGHT BSH</t>
        </is>
      </c>
      <c r="C142" t="inlineStr">
        <is>
          <t>SKID Assembly</t>
        </is>
      </c>
      <c r="D142" t="inlineStr">
        <is>
          <t>SKID (Skid)</t>
        </is>
      </c>
      <c r="E142" t="n">
        <v>16</v>
      </c>
      <c r="F142" t="inlineStr">
        <is>
          <t>FALTANTE - sem cotação</t>
        </is>
      </c>
      <c r="G142" s="3" t="n"/>
      <c r="H142" s="4" t="n"/>
      <c r="M142" t="inlineStr">
        <is>
          <t>Quotation pending (no USD or BRL price)</t>
        </is>
      </c>
    </row>
    <row r="143">
      <c r="A143" t="inlineStr">
        <is>
          <t>41A296352PTP272</t>
        </is>
      </c>
      <c r="B143" t="inlineStr">
        <is>
          <t>BC-PRECISION NAVIGATION MODULE</t>
        </is>
      </c>
      <c r="C143" t="inlineStr">
        <is>
          <t>SKID Assembly</t>
        </is>
      </c>
      <c r="D143" t="inlineStr">
        <is>
          <t>SKID (Skid)</t>
        </is>
      </c>
      <c r="E143" t="n">
        <v>2</v>
      </c>
      <c r="F143" t="inlineStr">
        <is>
          <t>FALTANTE - sem cotação</t>
        </is>
      </c>
      <c r="G143" s="3" t="n"/>
      <c r="H143" s="4" t="n"/>
      <c r="M143" t="inlineStr">
        <is>
          <t>Quotation pending (no USD or BRL price)</t>
        </is>
      </c>
    </row>
    <row r="144">
      <c r="A144" t="inlineStr">
        <is>
          <t>41A296352PTP58</t>
        </is>
      </c>
      <c r="B144" t="inlineStr">
        <is>
          <t>AY-DISPLAY CSX PTC DISPLAY</t>
        </is>
      </c>
      <c r="C144" t="inlineStr">
        <is>
          <t>SKID Assembly</t>
        </is>
      </c>
      <c r="D144" t="inlineStr">
        <is>
          <t>SKID (Skid)</t>
        </is>
      </c>
      <c r="E144" t="n">
        <v>1</v>
      </c>
      <c r="F144" t="inlineStr">
        <is>
          <t>FALTANTE - sem cotação</t>
        </is>
      </c>
      <c r="G144" s="3" t="n"/>
      <c r="H144" s="4" t="n"/>
      <c r="M144" t="inlineStr">
        <is>
          <t>Quotation pending (no USD or BRL price)</t>
        </is>
      </c>
    </row>
    <row r="145">
      <c r="A145" t="inlineStr">
        <is>
          <t>41A296352PTP292</t>
        </is>
      </c>
      <c r="B145" t="inlineStr">
        <is>
          <t>AX-POWER SUPPLY 13.6 V</t>
        </is>
      </c>
      <c r="C145" t="inlineStr">
        <is>
          <t>SKID Assembly</t>
        </is>
      </c>
      <c r="D145" t="inlineStr">
        <is>
          <t>SKID (Skid)</t>
        </is>
      </c>
      <c r="E145" t="n">
        <v>1</v>
      </c>
      <c r="F145" t="inlineStr">
        <is>
          <t>FALTANTE - sem cotação</t>
        </is>
      </c>
      <c r="G145" s="3" t="n"/>
      <c r="H145" s="4" t="n"/>
      <c r="M145" t="inlineStr">
        <is>
          <t>Quotation pending (no USD or BRL price)</t>
        </is>
      </c>
    </row>
    <row r="146">
      <c r="A146" t="inlineStr">
        <is>
          <t>MODEM ATT</t>
        </is>
      </c>
      <c r="B146" t="inlineStr">
        <is>
          <t>MODEM ATT</t>
        </is>
      </c>
      <c r="C146" t="inlineStr">
        <is>
          <t>SKID Assembly</t>
        </is>
      </c>
      <c r="D146" t="inlineStr">
        <is>
          <t>SKID (Skid)</t>
        </is>
      </c>
      <c r="E146" t="n">
        <v>3</v>
      </c>
      <c r="F146" t="inlineStr">
        <is>
          <t>FALTANTE - sem cotação</t>
        </is>
      </c>
      <c r="G146" s="3" t="n"/>
      <c r="H146" s="4" t="n"/>
      <c r="M146" t="inlineStr">
        <is>
          <t>Exact PN match found in PAC (org GCM) as 'TMC Panel Assembly'. Replacement PN for original 17FL519A1.</t>
        </is>
      </c>
    </row>
    <row r="147">
      <c r="A147" t="inlineStr">
        <is>
          <t>84A237085AJP1</t>
        </is>
      </c>
      <c r="B147" t="inlineStr">
        <is>
          <t>C-GoLIN EP_3 SMA_M2 CELL MODEM</t>
        </is>
      </c>
      <c r="C147" t="inlineStr">
        <is>
          <t>SKID Assembly</t>
        </is>
      </c>
      <c r="D147" t="inlineStr">
        <is>
          <t>Controls (MCA, train control, er etc)</t>
        </is>
      </c>
      <c r="E147" t="n">
        <v>1</v>
      </c>
      <c r="F147" t="inlineStr">
        <is>
          <t>FALTANTE - sem cotação</t>
        </is>
      </c>
      <c r="G147" s="3" t="n"/>
      <c r="H147" s="4" t="n"/>
      <c r="M147" t="inlineStr">
        <is>
          <t>Quotation pending (no USD or BRL price)</t>
        </is>
      </c>
    </row>
    <row r="148">
      <c r="A148" t="inlineStr">
        <is>
          <t>17FL400B</t>
        </is>
      </c>
      <c r="B148" t="inlineStr">
        <is>
          <t>ST-DEVELOPER v19.4</t>
        </is>
      </c>
      <c r="C148" t="inlineStr">
        <is>
          <t>SKID Assembly</t>
        </is>
      </c>
      <c r="D148" t="inlineStr">
        <is>
          <t>SKID (Skid)</t>
        </is>
      </c>
      <c r="E148" t="n">
        <v>1</v>
      </c>
      <c r="F148" t="inlineStr">
        <is>
          <t>FALTANTE - sem cotação</t>
        </is>
      </c>
      <c r="G148" s="3" t="n"/>
      <c r="H148" s="4" t="n"/>
      <c r="M148" t="inlineStr">
        <is>
          <t>Quotation pending (no USD or BRL price)</t>
        </is>
      </c>
    </row>
    <row r="149">
      <c r="A149" t="inlineStr">
        <is>
          <t>41A296352CMP448</t>
        </is>
      </c>
      <c r="B149" t="inlineStr">
        <is>
          <t>FB-DIGITAL RADIO MODULE</t>
        </is>
      </c>
      <c r="C149" t="inlineStr">
        <is>
          <t>SKID Assembly</t>
        </is>
      </c>
      <c r="D149" t="inlineStr">
        <is>
          <t>SKID (Skid)</t>
        </is>
      </c>
      <c r="E149" t="n">
        <v>1</v>
      </c>
      <c r="F149" t="inlineStr">
        <is>
          <t>FALTANTE - sem cotação</t>
        </is>
      </c>
      <c r="G149" s="3" t="n"/>
      <c r="H149" s="4" t="n"/>
      <c r="M149" t="inlineStr">
        <is>
          <t>Quotation pending (no USD or BRL price)</t>
        </is>
      </c>
    </row>
    <row r="150">
      <c r="A150" t="inlineStr">
        <is>
          <t>41A296352PTP326</t>
        </is>
      </c>
      <c r="B150" t="inlineStr">
        <is>
          <t>BH-WABTEC TRAIN MANAGEMENT COMPUTER _WTMC_</t>
        </is>
      </c>
      <c r="C150" t="inlineStr">
        <is>
          <t>SKID Assembly</t>
        </is>
      </c>
      <c r="D150" t="inlineStr">
        <is>
          <t>SKID (Skid)</t>
        </is>
      </c>
      <c r="E150" t="n">
        <v>1</v>
      </c>
      <c r="F150" t="inlineStr">
        <is>
          <t>FALTANTE - sem cotação</t>
        </is>
      </c>
      <c r="G150" s="3" t="n"/>
      <c r="H150" s="4" t="n"/>
      <c r="M150" t="inlineStr">
        <is>
          <t>Quotation pending (no USD or BRL price)</t>
        </is>
      </c>
    </row>
    <row r="151">
      <c r="A151" t="inlineStr">
        <is>
          <t>17FM711C3</t>
        </is>
      </c>
      <c r="B151" t="inlineStr">
        <is>
          <t>H-PANEL DBM</t>
        </is>
      </c>
      <c r="C151" t="inlineStr">
        <is>
          <t>SKID Assembly</t>
        </is>
      </c>
      <c r="D151" t="inlineStr">
        <is>
          <t>SKID (Skid)</t>
        </is>
      </c>
      <c r="E151" t="n">
        <v>1</v>
      </c>
      <c r="F151" t="inlineStr">
        <is>
          <t>FALTANTE - sem cotação</t>
        </is>
      </c>
      <c r="G151" s="3" t="n"/>
      <c r="H151" s="4" t="n"/>
      <c r="M151" t="inlineStr">
        <is>
          <t>No PAC record for this exact PN; priced using the PAC reference for the analogous TCD PN 17FM839B1 (org GCM, identical description match) as a second physical display unit for the SKID. Confirm with engineering.</t>
        </is>
      </c>
    </row>
    <row r="152">
      <c r="A152" t="inlineStr">
        <is>
          <t>41A296352BCP9</t>
        </is>
      </c>
      <c r="B152" t="inlineStr">
        <is>
          <t>N-HEAD OF TRAIN DEVICE</t>
        </is>
      </c>
      <c r="C152" t="inlineStr">
        <is>
          <t>SKID Assembly</t>
        </is>
      </c>
      <c r="D152" t="inlineStr">
        <is>
          <t>SKID (Skid)</t>
        </is>
      </c>
      <c r="E152" t="n">
        <v>1</v>
      </c>
      <c r="F152" t="inlineStr">
        <is>
          <t>FALTANTE - sem cotação</t>
        </is>
      </c>
      <c r="G152" s="3" t="n"/>
      <c r="H152" s="4" t="n"/>
      <c r="M152" t="inlineStr">
        <is>
          <t>Quotation pending (no USD or BRL price)</t>
        </is>
      </c>
    </row>
    <row r="153">
      <c r="A153" t="inlineStr">
        <is>
          <t>RL-1033772</t>
        </is>
      </c>
      <c r="B153" t="inlineStr">
        <is>
          <t>ASSEMBLY, RELAY BOARD</t>
        </is>
      </c>
      <c r="C153" t="inlineStr">
        <is>
          <t>SKID Assembly</t>
        </is>
      </c>
      <c r="D153" t="inlineStr">
        <is>
          <t>SKID (Skid)</t>
        </is>
      </c>
      <c r="E153" t="n">
        <v>1</v>
      </c>
      <c r="F153" t="inlineStr">
        <is>
          <t>FALTANTE - sem cotação</t>
        </is>
      </c>
      <c r="G153" s="3" t="n"/>
      <c r="H153" s="4" t="n"/>
      <c r="M153" t="inlineStr">
        <is>
          <t>Quotation pending (no USD or BRL price)</t>
        </is>
      </c>
    </row>
    <row r="154">
      <c r="A154" t="inlineStr">
        <is>
          <t>41B549523ADP15</t>
        </is>
      </c>
      <c r="B154" t="inlineStr">
        <is>
          <t>SWITCH PUSH BUTTON</t>
        </is>
      </c>
      <c r="C154" t="inlineStr">
        <is>
          <t>SKID Assembly</t>
        </is>
      </c>
      <c r="D154" t="inlineStr">
        <is>
          <t>SKID (Skid)</t>
        </is>
      </c>
      <c r="E154" t="n">
        <v>2</v>
      </c>
      <c r="F154" t="inlineStr">
        <is>
          <t>FALTANTE - sem cotação</t>
        </is>
      </c>
      <c r="G154" s="3" t="n"/>
      <c r="H154" s="4" t="n"/>
      <c r="M154" t="inlineStr">
        <is>
          <t>Quotation pending (no USD or BRL price)</t>
        </is>
      </c>
    </row>
    <row r="155">
      <c r="A155" t="inlineStr">
        <is>
          <t>BAP900F</t>
        </is>
      </c>
      <c r="B155" t="inlineStr">
        <is>
          <t>CONVERTER/CHARGER DC/DC 74/72-F4WTSA</t>
        </is>
      </c>
      <c r="C155" t="inlineStr">
        <is>
          <t>SKID Assembly</t>
        </is>
      </c>
      <c r="D155" t="inlineStr">
        <is>
          <t>SKID (Skid)</t>
        </is>
      </c>
      <c r="E155" t="n">
        <v>3</v>
      </c>
      <c r="F155" t="inlineStr">
        <is>
          <t>FALTANTE - sem cotação</t>
        </is>
      </c>
      <c r="G155" s="3" t="n"/>
      <c r="H155" s="4" t="n"/>
      <c r="M155" t="inlineStr">
        <is>
          <t>Quotation pending (no USD or BRL price)</t>
        </is>
      </c>
    </row>
    <row r="156">
      <c r="A156" t="inlineStr">
        <is>
          <t>41A296352PTP360</t>
        </is>
      </c>
      <c r="B156" t="inlineStr">
        <is>
          <t>_BB-CUT-OUT SWITCH CABINET</t>
        </is>
      </c>
      <c r="C156" t="inlineStr">
        <is>
          <t>SKID Assembly</t>
        </is>
      </c>
      <c r="D156" t="inlineStr">
        <is>
          <t>SKID (Skid)</t>
        </is>
      </c>
      <c r="E156" t="n">
        <v>1</v>
      </c>
      <c r="F156" t="inlineStr">
        <is>
          <t>FALTANTE - sem cotação</t>
        </is>
      </c>
      <c r="G156" s="3" t="n"/>
      <c r="H156" s="4" t="n"/>
      <c r="M156" t="inlineStr">
        <is>
          <t>Quotation pending (no USD or BRL price)</t>
        </is>
      </c>
    </row>
    <row r="157">
      <c r="A157" t="inlineStr">
        <is>
          <t>N265P21B</t>
        </is>
      </c>
      <c r="B157" t="inlineStr">
        <is>
          <t>NUT, HEX, LOCK, 1/4-20, GR5, Z</t>
        </is>
      </c>
      <c r="C157" t="inlineStr">
        <is>
          <t>SKID Assembly</t>
        </is>
      </c>
      <c r="D157" t="inlineStr">
        <is>
          <t>SKID (Skid)</t>
        </is>
      </c>
      <c r="E157" t="n">
        <v>1</v>
      </c>
      <c r="F157" t="inlineStr">
        <is>
          <t>FALTANTE - sem cotação</t>
        </is>
      </c>
      <c r="G157" s="3" t="n"/>
      <c r="H157" s="4" t="n"/>
      <c r="M157" t="inlineStr">
        <is>
          <t>Quotation pending (no USD or BRL price)</t>
        </is>
      </c>
    </row>
    <row r="158">
      <c r="A158" t="inlineStr">
        <is>
          <t>N647AP21012B</t>
        </is>
      </c>
      <c r="B158" t="inlineStr">
        <is>
          <t>BOLT, BHCS, 1/4"-20 X 3/4", 18-8</t>
        </is>
      </c>
      <c r="C158" t="inlineStr">
        <is>
          <t>SKID Assembly</t>
        </is>
      </c>
      <c r="D158" t="inlineStr">
        <is>
          <t>SKID (Skid)</t>
        </is>
      </c>
      <c r="E158" t="n">
        <v>17</v>
      </c>
      <c r="F158" t="inlineStr">
        <is>
          <t>FALTANTE - sem cotação</t>
        </is>
      </c>
      <c r="G158" s="3" t="n"/>
      <c r="H158" s="4" t="n"/>
      <c r="M158" t="inlineStr">
        <is>
          <t>Quotation pending (no USD or BRL price)</t>
        </is>
      </c>
    </row>
    <row r="159">
      <c r="A159" t="inlineStr">
        <is>
          <t>1009634-901</t>
        </is>
      </c>
      <c r="B159" t="inlineStr">
        <is>
          <t>SFM 701x Smart Fan Module</t>
        </is>
      </c>
      <c r="C159" t="inlineStr">
        <is>
          <t>SKID Assembly</t>
        </is>
      </c>
      <c r="D159" t="inlineStr">
        <is>
          <t>bottom on ACC</t>
        </is>
      </c>
      <c r="E159" t="n">
        <v>3</v>
      </c>
      <c r="F159" t="inlineStr">
        <is>
          <t>FALTANTE - sem cotação</t>
        </is>
      </c>
      <c r="G159" s="3" t="n"/>
      <c r="H159" s="4" t="n"/>
      <c r="M159" t="inlineStr">
        <is>
          <t>Quotation pending (no USD or BRL price)</t>
        </is>
      </c>
    </row>
    <row r="160">
      <c r="A160" t="inlineStr">
        <is>
          <t>401581-100</t>
        </is>
      </c>
      <c r="B160" t="inlineStr">
        <is>
          <t>SFPIM 703x 15v Smart Fan Module</t>
        </is>
      </c>
      <c r="C160" t="inlineStr">
        <is>
          <t>SKID Assembly</t>
        </is>
      </c>
      <c r="D160" t="inlineStr">
        <is>
          <t>41A296352VHP1_E-GEW</t>
        </is>
      </c>
      <c r="E160" t="n">
        <v>2</v>
      </c>
      <c r="F160" t="inlineStr">
        <is>
          <t>FALTANTE - sem cotação</t>
        </is>
      </c>
      <c r="G160" s="3" t="n"/>
      <c r="H160" s="4" t="n"/>
      <c r="M160" t="inlineStr">
        <is>
          <t>Quotation pending (no USD or BRL price)</t>
        </is>
      </c>
    </row>
    <row r="161">
      <c r="A161" t="inlineStr">
        <is>
          <t>PTC-FILT-NB-160-MIL-U</t>
        </is>
      </c>
      <c r="B161" t="inlineStr">
        <is>
          <t>160 MHz PTC Filter</t>
        </is>
      </c>
      <c r="C161" t="inlineStr">
        <is>
          <t>SKID Assembly</t>
        </is>
      </c>
      <c r="D161" t="inlineStr">
        <is>
          <t>later</t>
        </is>
      </c>
      <c r="E161" t="n">
        <v>1</v>
      </c>
      <c r="F161" t="inlineStr">
        <is>
          <t>FALTANTE - sem cotação</t>
        </is>
      </c>
      <c r="G161" s="3" t="n"/>
      <c r="H161" s="4" t="n"/>
      <c r="M161" t="inlineStr">
        <is>
          <t>Quotation pending (no USD or BRL price)</t>
        </is>
      </c>
    </row>
    <row r="162">
      <c r="A162" t="inlineStr">
        <is>
          <t>PTC-FILT-NB-220-MIL-MF</t>
        </is>
      </c>
      <c r="B162" t="inlineStr">
        <is>
          <t>220 Mhz PTC FILTER</t>
        </is>
      </c>
      <c r="C162" t="inlineStr">
        <is>
          <t>SKID Assembly</t>
        </is>
      </c>
      <c r="D162" t="inlineStr">
        <is>
          <t>later</t>
        </is>
      </c>
      <c r="E162" t="n">
        <v>2</v>
      </c>
      <c r="F162" t="inlineStr">
        <is>
          <t>FALTANTE - sem cotação</t>
        </is>
      </c>
      <c r="G162" s="3" t="n"/>
      <c r="H162" s="4" t="n"/>
      <c r="M162" t="inlineStr">
        <is>
          <t>Quotation pending (no USD or BRL price)</t>
        </is>
      </c>
    </row>
    <row r="163">
      <c r="B163" t="inlineStr">
        <is>
          <t>PTC Junction Box</t>
        </is>
      </c>
      <c r="C163" t="inlineStr">
        <is>
          <t>SKID Assembly</t>
        </is>
      </c>
      <c r="D163" t="inlineStr">
        <is>
          <t>SKID (Skid)</t>
        </is>
      </c>
      <c r="E163" t="n">
        <v>1</v>
      </c>
      <c r="F163" t="inlineStr">
        <is>
          <t>FALTANTE - sem cotação</t>
        </is>
      </c>
      <c r="G163" s="3" t="n"/>
      <c r="H163" s="4" t="n"/>
      <c r="M163" t="inlineStr">
        <is>
          <t>Quotation pending (no USD or BRL price)</t>
        </is>
      </c>
    </row>
    <row r="164">
      <c r="A164" t="inlineStr">
        <is>
          <t>41A296352LUP15</t>
        </is>
      </c>
      <c r="B164" t="inlineStr">
        <is>
          <t>455 MHz Antenna (DPA, DPB, EOT )</t>
        </is>
      </c>
      <c r="C164" t="inlineStr">
        <is>
          <t>SKID Assembly</t>
        </is>
      </c>
      <c r="D164" t="inlineStr">
        <is>
          <t>SKID (Skid)</t>
        </is>
      </c>
      <c r="E164" t="n">
        <v>3</v>
      </c>
      <c r="F164" t="inlineStr">
        <is>
          <t>FALTANTE - sem cotação</t>
        </is>
      </c>
      <c r="G164" s="3" t="n"/>
      <c r="H164" s="4" t="n"/>
      <c r="M164" t="inlineStr">
        <is>
          <t>Quotation pending (no USD or BRL price)</t>
        </is>
      </c>
    </row>
    <row r="165">
      <c r="A165" t="inlineStr">
        <is>
          <t>84D749224G1</t>
        </is>
      </c>
      <c r="B165" t="inlineStr">
        <is>
          <t>Power resistor</t>
        </is>
      </c>
      <c r="C165" t="inlineStr">
        <is>
          <t>SKID Assembly</t>
        </is>
      </c>
      <c r="D165" t="inlineStr">
        <is>
          <t>Battery Skid?</t>
        </is>
      </c>
      <c r="E165" t="n">
        <v>1</v>
      </c>
      <c r="F165" t="inlineStr">
        <is>
          <t>FALTANTE - sem cotação</t>
        </is>
      </c>
      <c r="G165" s="3" t="n"/>
      <c r="H165" s="4" t="n"/>
      <c r="M165" t="inlineStr">
        <is>
          <t>Exact PN match found in PAC (org GCM) as 'CARD'. Made by GET; retained for GET impact analysis using PAC reference price.</t>
        </is>
      </c>
    </row>
  </sheetData>
  <autoFilter ref="A3:M165"/>
  <mergeCells count="1"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20" customWidth="1" min="3" max="3"/>
  </cols>
  <sheetData>
    <row r="1">
      <c r="A1" s="1" t="inlineStr">
        <is>
          <t>P&amp;L PATHFINDER - PREÇO REAL (metodologia Material Pricing / Approval Summary)</t>
        </is>
      </c>
    </row>
    <row r="3">
      <c r="A3" t="inlineStr">
        <is>
          <t>Câmbio (USD-&gt;BRL):</t>
        </is>
      </c>
      <c r="B3" s="6" t="n">
        <v>5.1</v>
      </c>
    </row>
    <row r="4">
      <c r="A4" t="inlineStr">
        <is>
          <t>Total Deal Margin (TDM):</t>
        </is>
      </c>
      <c r="B4" s="7" t="n">
        <v>0.45</v>
      </c>
      <c r="D4" s="8" t="inlineStr">
        <is>
          <t>&lt;- editável. Atualiza automaticamente o Preço Líquido e o Preço ao Cliente abaixo.</t>
        </is>
      </c>
    </row>
    <row r="5">
      <c r="A5" t="inlineStr">
        <is>
          <t>PIS/COFINS (blended, NCM real onde disponível):</t>
        </is>
      </c>
      <c r="B5" s="9" t="n">
        <v>0.1006</v>
      </c>
    </row>
    <row r="6">
      <c r="A6" t="inlineStr">
        <is>
          <t>ICMS:</t>
        </is>
      </c>
      <c r="B6" s="9" t="n">
        <v>0.18</v>
      </c>
    </row>
    <row r="7">
      <c r="A7" t="inlineStr">
        <is>
          <t>IPI (blended, NCM real onde disponível):</t>
        </is>
      </c>
      <c r="B7" s="9" t="n">
        <v>0.0969</v>
      </c>
    </row>
    <row r="8">
      <c r="B8" s="10" t="inlineStr">
        <is>
          <t>BRL</t>
        </is>
      </c>
      <c r="C8" s="10" t="inlineStr">
        <is>
          <t>USD</t>
        </is>
      </c>
    </row>
    <row r="9">
      <c r="A9" s="11" t="inlineStr">
        <is>
          <t>1) CUSTO (Raw Cost + TP + Frete + Imposto de Importação)</t>
        </is>
      </c>
    </row>
    <row r="10">
      <c r="A10" t="inlineStr">
        <is>
          <t>Raw Cost - Itens Importados (BOM USD x Qtd x Câmbio)</t>
        </is>
      </c>
      <c r="B10" s="4" t="n">
        <v>1346980.92</v>
      </c>
      <c r="C10" s="3">
        <f>B10/$B$3</f>
        <v/>
      </c>
    </row>
    <row r="11">
      <c r="A11" t="inlineStr">
        <is>
          <t>Raw Cost - Itens PAC (já nacionalizado, custo all-in local)</t>
        </is>
      </c>
      <c r="B11" s="4" t="n">
        <v>166060.16</v>
      </c>
      <c r="C11" s="3">
        <f>B11/$B$3</f>
        <v/>
      </c>
    </row>
    <row r="12">
      <c r="A12" t="inlineStr">
        <is>
          <t>TP - Transfer Price (13%/17,2% conforme o grupo; é a margem da WBT USA)</t>
        </is>
      </c>
      <c r="B12" s="4" t="n">
        <v>198163.69</v>
      </c>
      <c r="C12" s="3">
        <f>B12/$B$3</f>
        <v/>
      </c>
    </row>
    <row r="13">
      <c r="A13" t="inlineStr">
        <is>
          <t>Frete Internacional (real, cotação China Gate, 1,23%)</t>
        </is>
      </c>
      <c r="B13" s="4" t="n">
        <v>18998.55</v>
      </c>
      <c r="C13" s="3">
        <f>B13/$B$3</f>
        <v/>
      </c>
    </row>
    <row r="14">
      <c r="A14" t="inlineStr">
        <is>
          <t>II - Imposto de Importação (blended 17.96%, NCM real onde disponível)</t>
        </is>
      </c>
      <c r="B14" s="4" t="n">
        <v>280915.82</v>
      </c>
      <c r="C14" s="3">
        <f>B14/$B$3</f>
        <v/>
      </c>
    </row>
    <row r="15">
      <c r="A15" t="inlineStr">
        <is>
          <t>Frete Nacional (real, cotação China Gate, Santos-&gt;Betim/Contagem)</t>
        </is>
      </c>
      <c r="B15" s="4" t="n">
        <v>21753.1</v>
      </c>
      <c r="C15" s="3">
        <f>B15/$B$3</f>
        <v/>
      </c>
    </row>
    <row r="16">
      <c r="A16" t="inlineStr">
        <is>
          <t>Supermetal - GDT Integration/Assembly (modificação do vagão, custo direto)</t>
        </is>
      </c>
      <c r="B16" s="4" t="n">
        <v>707790.6</v>
      </c>
      <c r="C16" s="3">
        <f>B16/$B$3</f>
        <v/>
      </c>
    </row>
    <row r="17">
      <c r="A17" s="12" t="inlineStr">
        <is>
          <t>CUSTO FINAL (com TP):</t>
        </is>
      </c>
      <c r="B17" s="13">
        <f>SUM(B10:B16)</f>
        <v/>
      </c>
      <c r="C17" s="14">
        <f>B17/$B$3</f>
        <v/>
      </c>
    </row>
    <row r="19">
      <c r="A19" s="11" t="inlineStr">
        <is>
          <t>2) MARGEM (TDM aplicado sobre o custo SEM o TP; TP é devolvido depois sem markup)</t>
        </is>
      </c>
    </row>
    <row r="20">
      <c r="A20" t="inlineStr">
        <is>
          <t>Base p/ margem (Custo Final - TP)</t>
        </is>
      </c>
      <c r="B20" s="4">
        <f>B17-B12</f>
        <v/>
      </c>
      <c r="C20" s="3">
        <f>B20/$B$3</f>
        <v/>
      </c>
    </row>
    <row r="21">
      <c r="A21" t="inlineStr">
        <is>
          <t>Preço Líquido s/ TP (Base / (1 - TDM))</t>
        </is>
      </c>
      <c r="B21" s="4">
        <f>B20/(1-$B$4)</f>
        <v/>
      </c>
      <c r="C21" s="3">
        <f>B21/$B$3</f>
        <v/>
      </c>
    </row>
    <row r="22">
      <c r="A22" s="12" t="inlineStr">
        <is>
          <t>PREÇO LÍQUIDO ('NOSSO PREÇO' - custo + margem, sem impostos de saída):</t>
        </is>
      </c>
      <c r="B22" s="13">
        <f>B21+B12</f>
        <v/>
      </c>
      <c r="C22" s="14">
        <f>B22/$B$3</f>
        <v/>
      </c>
    </row>
    <row r="24">
      <c r="A24" s="11" t="inlineStr">
        <is>
          <t>3) IMPOSTOS DE SAÍDA (não afetam nossa margem - o cliente paga, cliente pode creditar parte)</t>
        </is>
      </c>
    </row>
    <row r="25">
      <c r="A25" t="inlineStr">
        <is>
          <t>+ PIS/COFINS (por dentro)</t>
        </is>
      </c>
      <c r="B25" s="4">
        <f>B22/(1-$B$5)</f>
        <v/>
      </c>
      <c r="C25" s="3">
        <f>B25/$B$3</f>
        <v/>
      </c>
    </row>
    <row r="26">
      <c r="A26" t="inlineStr">
        <is>
          <t>+ ICMS (por dentro, empilhado sobre PIS/COFINS)</t>
        </is>
      </c>
      <c r="B26" s="4">
        <f>B25/(1-$B$6)</f>
        <v/>
      </c>
      <c r="C26" s="3">
        <f>B26/$B$3</f>
        <v/>
      </c>
    </row>
    <row r="27">
      <c r="A27" t="inlineStr">
        <is>
          <t>+ IPI (por fora, % sobre o valor já com ICMS)</t>
        </is>
      </c>
      <c r="B27" s="4">
        <f>B26*$B$7</f>
        <v/>
      </c>
      <c r="C27" s="3">
        <f>B27/$B$3</f>
        <v/>
      </c>
    </row>
    <row r="28">
      <c r="A28" s="12" t="inlineStr">
        <is>
          <t>PREÇO FINAL AO CLIENTE (com todos os impostos):</t>
        </is>
      </c>
      <c r="B28" s="13">
        <f>B26+B27</f>
        <v/>
      </c>
      <c r="C28" s="14">
        <f>B28/$B$3</f>
        <v/>
      </c>
    </row>
    <row r="30">
      <c r="A30" s="10" t="inlineStr">
        <is>
          <t>Notas / Premissas:</t>
        </is>
      </c>
    </row>
    <row r="31">
      <c r="A31" s="8" t="inlineStr">
        <is>
          <t>- Metodologia: abas 'Material Pricing' + 'Approval Summary' do Material Pricing.xlsm (P&amp;L Old descartado - fórmulas quebradas/#REF!).</t>
        </is>
      </c>
    </row>
    <row r="32">
      <c r="A32" s="8" t="inlineStr">
        <is>
          <t>- TP tratado como a margem da WBT USA (GM WBT USA); entra no custo mas fica fora da base de margem da WBT Brasil (TDM = (TP + GM BRZ) / Preço Líquido).</t>
        </is>
      </c>
    </row>
    <row r="33">
      <c r="A33" s="8" t="inlineStr">
        <is>
          <t>- Frete Internacional e Frete Nacional: valores reais da cotação China Gate (Planilha de Custos de Importação - Pathfinder - Set 26.xlsx), não os 9%/3% antigos.</t>
        </is>
      </c>
    </row>
    <row r="34">
      <c r="A34" s="8" t="inlineStr">
        <is>
          <t>- II/IPI/PIS-COFINS: taxa real por NCM (aba 'II' da Material Pricing) para os 6 itens com NCM confirmado; taxa 'pior caso' (nossa antiga flat) para os demais 41 sem NCM.</t>
        </is>
      </c>
    </row>
    <row r="35">
      <c r="A35" s="8" t="inlineStr">
        <is>
          <t>- ICMS: 18% flat (mesmo valor usado no exemplo real da Material Pricing).</t>
        </is>
      </c>
    </row>
    <row r="36">
      <c r="A36" s="8" t="inlineStr">
        <is>
          <t>- 88 itens PAC somados como um bloco só (já é custo all-in local, sem decompor TP/frete/II).</t>
        </is>
      </c>
    </row>
    <row r="37">
      <c r="A37" s="8" t="inlineStr">
        <is>
          <t>- Custo da Supermetal (Integração/Montagem GDT: reforma do vagão - teto, porta, escada, chicotes, skid de baterias, tubulação Fastbrake, ar condicionado, lastro) incluído como custo direto, entrando na mesma base de margem do equipamento - ver aba 'GDT Integration and Assembly' no arquivo de trabalho principal para o detalhamento item a item.</t>
        </is>
      </c>
    </row>
    <row r="38">
      <c r="A38" s="8" t="inlineStr">
        <is>
          <t>- 27 itens ainda sem cotação de custo (Missing) NÃO estão incluídos neste total - ver aba Lista de Itens (Fonte do Custo = MISSING).</t>
        </is>
      </c>
    </row>
    <row r="39">
      <c r="A39" s="8" t="inlineStr">
        <is>
          <t>- QQP (tributos de serviço) e ISS (imposto do rollup GDT de integração/labor) foram desconsiderados por enquanto, a pedido.</t>
        </is>
      </c>
    </row>
  </sheetData>
  <mergeCells count="10">
    <mergeCell ref="A38:F38"/>
    <mergeCell ref="A1:D1"/>
    <mergeCell ref="A33:F33"/>
    <mergeCell ref="A36:F36"/>
    <mergeCell ref="A37:F37"/>
    <mergeCell ref="A32:F32"/>
    <mergeCell ref="A31:F31"/>
    <mergeCell ref="A34:F34"/>
    <mergeCell ref="A35:F35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2026-09-23T01:01:21Z</dcterms:created>
  <dcterms:modified xmlns:dcterms="http://purl.org/dc/terms/" xmlns:xsi="http://www.w3.org/2001/XMLSchema-instance" xsi:type="dcterms:W3CDTF">2026-09-23T01:01:21Z</dcterms:modified>
</cp:coreProperties>
</file>