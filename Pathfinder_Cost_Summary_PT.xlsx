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  <sheet xmlns:r="http://schemas.openxmlformats.org/officeDocument/2006/relationships" name="Detalhamento do Preço" sheetId="3" state="visible" r:id="rId3"/>
  </sheets>
  <definedNames>
    <definedName name="_xlnm._FilterDatabase" localSheetId="0" hidden="1">'Lista de Itens'!$A$3:$M$165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LISTA DE ITENS - Proposta de Custo MRS Pathfinder GDT</t>
        </is>
      </c>
    </row>
    <row r="3">
      <c r="A3" s="2" t="inlineStr">
        <is>
          <t>Part Number</t>
        </is>
      </c>
      <c r="B3" s="2" t="inlineStr">
        <is>
          <t>Descrição</t>
        </is>
      </c>
      <c r="C3" s="2" t="inlineStr">
        <is>
          <t>Sistema</t>
        </is>
      </c>
      <c r="D3" s="2" t="inlineStr">
        <is>
          <t>Subsistema</t>
        </is>
      </c>
      <c r="E3" s="2" t="inlineStr">
        <is>
          <t>Quantidade</t>
        </is>
      </c>
      <c r="F3" s="2" t="inlineStr">
        <is>
          <t>Fonte do Custo</t>
        </is>
      </c>
      <c r="G3" s="2" t="inlineStr">
        <is>
          <t>Custo Unitário USD (Itens Importados, sem markup)</t>
        </is>
      </c>
      <c r="H3" s="2" t="inlineStr">
        <is>
          <t>Custo Unitário BRL (Itens PAC, custo local nacionalizado)</t>
        </is>
      </c>
      <c r="I3" s="2" t="inlineStr">
        <is>
          <t>Peso (kg)</t>
        </is>
      </c>
      <c r="J3" s="2" t="inlineStr">
        <is>
          <t>Confiança do Peso</t>
        </is>
      </c>
      <c r="K3" s="2" t="inlineStr">
        <is>
          <t>NCM</t>
        </is>
      </c>
      <c r="L3" s="2" t="inlineStr">
        <is>
          <t>Dimensões (C x A x L, in)</t>
        </is>
      </c>
      <c r="M3" s="2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3" t="n">
        <v>20000</v>
      </c>
      <c r="H9" s="4" t="n"/>
      <c r="I9" s="5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3" t="n">
        <v>761</v>
      </c>
      <c r="H31" s="4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3" t="n">
        <v>411.22</v>
      </c>
      <c r="H35" s="4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3" t="n">
        <v>404.6239</v>
      </c>
      <c r="H36" s="4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3" t="n">
        <v>205</v>
      </c>
      <c r="H43" s="4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3" t="n">
        <v>171.544</v>
      </c>
      <c r="H45" s="4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3" t="n">
        <v>159</v>
      </c>
      <c r="H46" s="4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3" t="n">
        <v>79.83</v>
      </c>
      <c r="H64" s="4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3" t="n">
        <v>72.41</v>
      </c>
      <c r="H67" s="4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3" t="n">
        <v>71.94</v>
      </c>
      <c r="H68" s="4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3" t="n">
        <v>71.94</v>
      </c>
      <c r="H69" s="4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3" t="n">
        <v>59.75</v>
      </c>
      <c r="H75" s="4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3" t="n">
        <v>45.7356</v>
      </c>
      <c r="H90" s="4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3" t="n">
        <v>13.66</v>
      </c>
      <c r="H111" s="4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3" t="n">
        <v>0.01</v>
      </c>
      <c r="H139" s="4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3" t="n">
        <v>0.01</v>
      </c>
      <c r="H140" s="4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NCM real onde disponível):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4" t="n">
        <v>1346980.92</v>
      </c>
      <c r="C10" s="3">
        <f>B10/$B$3</f>
        <v/>
      </c>
    </row>
    <row r="11">
      <c r="A11" t="inlineStr">
        <is>
          <t>Raw Cost - Itens PAC (já nacionalizado, custo all-in local)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(13%/17,2% conforme o grupo; é a margem da WBT USA)</t>
        </is>
      </c>
      <c r="B12" s="4" t="n">
        <v>198163.69</v>
      </c>
      <c r="C12" s="3">
        <f>B12/$B$3</f>
        <v/>
      </c>
    </row>
    <row r="13">
      <c r="A13" t="inlineStr">
        <is>
          <t>Frete Internacional (real, cotação China Gate, 1,23%)</t>
        </is>
      </c>
      <c r="B13" s="4" t="n">
        <v>18998.55</v>
      </c>
      <c r="C13" s="3">
        <f>B13/$B$3</f>
        <v/>
      </c>
    </row>
    <row r="14">
      <c r="A14" t="inlineStr">
        <is>
          <t>II - Imposto de Importação (blended 17.96%, NCM real onde disponível)</t>
        </is>
      </c>
      <c r="B14" s="4" t="n">
        <v>280915.82</v>
      </c>
      <c r="C14" s="3">
        <f>B14/$B$3</f>
        <v/>
      </c>
    </row>
    <row r="15">
      <c r="A15" t="inlineStr">
        <is>
          <t>Frete Nacional (real, cotação China Gate,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(modificação do vagão, custo direto)</t>
        </is>
      </c>
      <c r="B16" s="4" t="n">
        <v>707790.6</v>
      </c>
      <c r="C16" s="3">
        <f>B16/$B$3</f>
        <v/>
      </c>
    </row>
    <row r="17">
      <c r="A17" s="12" t="inlineStr">
        <is>
          <t>CUSTO FINAL (com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4">
        <f>B17-B12</f>
        <v/>
      </c>
      <c r="C20" s="3">
        <f>B20/$B$3</f>
        <v/>
      </c>
    </row>
    <row r="21">
      <c r="A21" t="inlineStr">
        <is>
          <t>Preço Líquido s/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PREÇO LÍQUIDO ('NOSSO PREÇO' - custo + margem, sem impostos de saída):</t>
        </is>
      </c>
      <c r="B22" s="13">
        <f>B21+B12</f>
        <v/>
      </c>
      <c r="C22" s="14">
        <f>B22/$B$3</f>
        <v/>
      </c>
    </row>
    <row r="24">
      <c r="A24" s="11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4">
        <f>B22/(1-$B$5)</f>
        <v/>
      </c>
      <c r="C25" s="3">
        <f>B25/$B$3</f>
        <v/>
      </c>
    </row>
    <row r="26">
      <c r="A26" t="inlineStr">
        <is>
          <t>+ ICMS (por dentro, empilhado sobre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(por fora, % sobre o valor já com ICMS)</t>
        </is>
      </c>
      <c r="B27" s="4">
        <f>B26*$B$7</f>
        <v/>
      </c>
      <c r="C27" s="3">
        <f>B27/$B$3</f>
        <v/>
      </c>
    </row>
    <row r="28">
      <c r="A28" s="12" t="inlineStr">
        <is>
          <t>PREÇO FINAL AO CLIENTE (com todos os impostos):</t>
        </is>
      </c>
      <c r="B28" s="13">
        <f>B26+B27</f>
        <v/>
      </c>
      <c r="C28" s="14">
        <f>B28/$B$3</f>
        <v/>
      </c>
    </row>
    <row r="30">
      <c r="A30" s="10" t="inlineStr">
        <is>
          <t>Notas / Premissas:</t>
        </is>
      </c>
    </row>
    <row r="31">
      <c r="A31" s="8" t="inlineStr">
        <is>
          <t>- Metodologia: abas 'Material Pricing' + 'Approval Summary' do Material Pricing.xlsm (P&amp;L Old descartado - fórmulas quebradas/#REF!).</t>
        </is>
      </c>
    </row>
    <row r="32">
      <c r="A32" s="8" t="inlineStr">
        <is>
          <t>- TP tratado como a margem da WBT USA (GM WBT USA); entra no custo mas fica fora da base de margem da WBT Brasil (TDM = (TP + GM BRZ) / Preço Líquido).</t>
        </is>
      </c>
    </row>
    <row r="33">
      <c r="A33" s="8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8" t="inlineStr">
        <is>
          <t>- II/IPI/PIS-COFINS: taxa real por NCM (aba 'II' da Material Pricing) para os 6 itens com NCM confirmado; taxa 'pior caso' (nossa antiga flat) para os demais 41 sem NCM.</t>
        </is>
      </c>
    </row>
    <row r="35">
      <c r="A35" s="8" t="inlineStr">
        <is>
          <t>- ICMS: 18% flat (mesmo valor usado no exemplo real da Material Pricing).</t>
        </is>
      </c>
    </row>
    <row r="36">
      <c r="A36" s="8" t="inlineStr">
        <is>
          <t>- 88 itens PAC somados como um bloco só (já é custo all-in local, sem decompor TP/frete/II).</t>
        </is>
      </c>
    </row>
    <row r="37">
      <c r="A37" s="8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      </is>
      </c>
    </row>
    <row r="38">
      <c r="A38" s="8" t="inlineStr">
        <is>
          <t>- 27 itens ainda sem cotação de custo (Missing) NÃO estão incluídos neste total - ver aba Lista de Itens (Fonte do Custo = MISSING).</t>
        </is>
      </c>
    </row>
    <row r="39">
      <c r="A39" s="8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1" t="inlineStr">
        <is>
          <t>DETALHAMENTO DO CÁLCULO DE PREÇO - origem e fórmula de cada número</t>
        </is>
      </c>
    </row>
    <row r="2">
      <c r="A2" s="8" t="inlineStr">
        <is>
          <t>Use esta aba pra responder 'por que esse número é X' - cada linha cita a fonte.</t>
        </is>
      </c>
    </row>
    <row r="4">
      <c r="A4" s="12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15" t="n">
        <v>900000</v>
      </c>
    </row>
    <row r="6">
      <c r="A6" t="inlineStr">
        <is>
          <t>Nosso Preço (Líquido - custo + margem, antes dos impostos brasileiros de saída):</t>
        </is>
      </c>
      <c r="B6" s="16" t="n">
        <v>945272.4347593583</v>
      </c>
      <c r="C6" s="8" t="inlineStr">
        <is>
          <t>&lt;- esse é o número que é de fato comparável a uma venda doméstica nos EUA (sem imposto de importação/consumo do Brasil).</t>
        </is>
      </c>
    </row>
    <row r="7">
      <c r="A7" t="inlineStr">
        <is>
          <t>Preço Final ao Cliente (com todos os impostos brasileiros):</t>
        </is>
      </c>
      <c r="B7" s="16" t="n">
        <v>1405909.269713061</v>
      </c>
    </row>
    <row r="8">
      <c r="A8" t="inlineStr">
        <is>
          <t>Diferença vs. referência EUA (Preço Líquido):</t>
        </is>
      </c>
      <c r="B8" s="3">
        <f>B6-B5</f>
        <v/>
      </c>
      <c r="C8" s="17">
        <f>B8/B5</f>
        <v/>
      </c>
    </row>
    <row r="9">
      <c r="A9" t="inlineStr">
        <is>
          <t>Diferença vs. referência EUA (Preço Final ao Cliente):</t>
        </is>
      </c>
      <c r="B9" s="3">
        <f>B7-B5</f>
        <v/>
      </c>
      <c r="C9" s="17">
        <f>B9/B5</f>
        <v/>
      </c>
    </row>
    <row r="10">
      <c r="A10" s="8" t="inlineStr">
        <is>
          <t>PONTO-CHAVE: nosso Preço Líquido está próximo do preço de referência dos EUA - o salto grande até o Preço Final ao Cliente vem</t>
        </is>
      </c>
    </row>
    <row r="11">
      <c r="A11" s="8" t="inlineStr">
        <is>
          <t>inteiro do Imposto de Importação (II) e dos impostos de consumo brasileiros (IPI/PIS/COFINS/ICMS), que não existem numa venda</t>
        </is>
      </c>
    </row>
    <row r="12">
      <c r="A12" s="8" t="inlineStr">
        <is>
          <t>doméstica nos EUA e incidiriam do mesmo jeito seja importando componentes ou um vagão pronto (um veículo pronto pode inclusive</t>
        </is>
      </c>
    </row>
    <row r="13">
      <c r="A13" s="8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11" t="inlineStr">
        <is>
          <t>1) CASCATA COMPLETA (bate com a aba 'Resumo Executivo (P&amp;L)', só que com a fonte de cada linha)</t>
        </is>
      </c>
    </row>
    <row r="16">
      <c r="A16" s="2" t="inlineStr">
        <is>
          <t>Etapa</t>
        </is>
      </c>
      <c r="B16" s="2" t="inlineStr">
        <is>
          <t>Fórmula / Lógica</t>
        </is>
      </c>
      <c r="C16" s="2" t="inlineStr">
        <is>
          <t>BRL</t>
        </is>
      </c>
      <c r="D16" s="2" t="inlineStr">
        <is>
          <t>USD</t>
        </is>
      </c>
      <c r="E16" s="2" t="inlineStr">
        <is>
          <t>Multiplicador vs. Custo Final (só nos totais)</t>
        </is>
      </c>
      <c r="F16" s="2" t="inlineStr">
        <is>
          <t>Fonte / Justificativa</t>
        </is>
      </c>
    </row>
    <row r="17">
      <c r="A17" t="inlineStr">
        <is>
          <t>Raw Cost - Itens Importados</t>
        </is>
      </c>
      <c r="B17" s="18" t="inlineStr">
        <is>
          <t>BOM USD unitário x Qtd x Câmbio, somado nos 47 itens importados precificados</t>
        </is>
      </c>
      <c r="C17" s="4" t="n">
        <v>1346980.92</v>
      </c>
      <c r="D17" s="3" t="n">
        <v>264113.905882353</v>
      </c>
      <c r="E17" t="inlineStr">
        <is>
          <t>-</t>
        </is>
      </c>
      <c r="F17" s="18" t="inlineStr">
        <is>
          <t>Aba Final Cost List, coluna F (BOM Price USD Unit) x coluna E (Quantity), câmbio da aba 'RATES' do Material Pricing.xlsm</t>
        </is>
      </c>
    </row>
    <row r="18">
      <c r="A18" t="inlineStr">
        <is>
          <t>Raw Cost - Itens PAC</t>
        </is>
      </c>
      <c r="B18" s="18" t="inlineStr">
        <is>
          <t>Soma do custo unitário PAC (BRL) x Qtd nos 88 itens PAC</t>
        </is>
      </c>
      <c r="C18" s="4" t="n">
        <v>166060.16</v>
      </c>
      <c r="D18" s="3" t="n">
        <v>32560.81568627451</v>
      </c>
      <c r="E18" t="inlineStr">
        <is>
          <t>-</t>
        </is>
      </c>
      <c r="F18" s="18" t="inlineStr">
        <is>
          <t>Campo 'aco_cost' do 7-PAC Item Costs.xlsx por item, já é custo de fabricação local completo (material+mão de obra+overhead)</t>
        </is>
      </c>
    </row>
    <row r="19">
      <c r="A19" t="inlineStr">
        <is>
          <t>TP - Transfer Price</t>
        </is>
      </c>
      <c r="B19" s="18" t="inlineStr">
        <is>
          <t>13% nos itens que já tinham algum TP historicamente; 17,2% nos que não tinham nenhum</t>
        </is>
      </c>
      <c r="C19" s="4" t="n">
        <v>198163.69</v>
      </c>
      <c r="D19" s="3" t="n">
        <v>38855.62549019608</v>
      </c>
      <c r="E19" t="inlineStr">
        <is>
          <t>-</t>
        </is>
      </c>
      <c r="F19" s="18" t="inlineStr">
        <is>
          <t>Diretriz do Matheus nesta sessão; a divisão 17,2%/0% original veio da cópia colorida de revisão (amarelo/verde)</t>
        </is>
      </c>
    </row>
    <row r="20">
      <c r="A20" t="inlineStr">
        <is>
          <t>Frete Internacional</t>
        </is>
      </c>
      <c r="B20" s="18" t="inlineStr">
        <is>
          <t>1,2295642% sobre (Raw Cost + TP)</t>
        </is>
      </c>
      <c r="C20" s="4" t="n">
        <v>18998.55</v>
      </c>
      <c r="D20" s="3" t="n">
        <v>3725.205882352941</v>
      </c>
      <c r="E20" t="inlineStr">
        <is>
          <t>-</t>
        </is>
      </c>
      <c r="F20" s="18" t="inlineStr">
        <is>
          <t>'Planilha de Custos de Importação - Pathfinder - Set 26.xlsx' (cotação do despachante China Gate), Frete+Seguro / Valor do Produto</t>
        </is>
      </c>
    </row>
    <row r="21">
      <c r="A21" t="inlineStr">
        <is>
          <t>II - Imposto de Importação</t>
        </is>
      </c>
      <c r="B21" s="18" t="inlineStr">
        <is>
          <t>Blended 17.96% sobre (Raw Cost+TP+Frete): taxa real por NCM pros 6 itens com NCM confirmado, pior caso 18% flat pros outros 41</t>
        </is>
      </c>
      <c r="C21" s="4" t="n">
        <v>280915.82</v>
      </c>
      <c r="D21" s="3" t="n">
        <v>55081.53333333334</v>
      </c>
      <c r="E21" t="inlineStr">
        <is>
          <t>-</t>
        </is>
      </c>
      <c r="F21" s="18" t="inlineStr">
        <is>
          <t>Aba 'II' do Material Pricing.xlsm (consulta real por NCM) + nossa taxa flat antiga como fallback</t>
        </is>
      </c>
    </row>
    <row r="22">
      <c r="A22" t="inlineStr">
        <is>
          <t>Frete Nacional</t>
        </is>
      </c>
      <c r="B22" s="18" t="inlineStr">
        <is>
          <t>Cotação real fixa pra remessa inteira (Santos -&gt; Betim/Contagem, MG)</t>
        </is>
      </c>
      <c r="C22" s="4" t="n">
        <v>21753.1</v>
      </c>
      <c r="D22" s="3" t="n">
        <v>4265.313725490196</v>
      </c>
      <c r="E22" t="inlineStr">
        <is>
          <t>-</t>
        </is>
      </c>
      <c r="F22" s="18" t="inlineStr">
        <is>
          <t>Cotação China Gate, aba 'Despesas de Importação': Siscomex, despachante, armazenagem, transporte rodoviário, Marinha Mercante, etc.</t>
        </is>
      </c>
    </row>
    <row r="23">
      <c r="A23" t="inlineStr">
        <is>
          <t>Supermetal - Integração/Montagem GDT</t>
        </is>
      </c>
      <c r="B23" s="18" t="inlineStr">
        <is>
          <t>Custo direto: reforma do vagão (teto, porta, escada, chicotes, skid de baterias, tubulação Fastbrake, ar condicionado, lastro)</t>
        </is>
      </c>
      <c r="C23" s="4" t="n">
        <v>707790.6</v>
      </c>
      <c r="D23" s="3" t="n">
        <v>138782.4705882353</v>
      </c>
      <c r="E23" t="inlineStr">
        <is>
          <t>-</t>
        </is>
      </c>
      <c r="F23" s="18" t="inlineStr">
        <is>
          <t>Aba 'GDT Integration and Assembly', soma da coluna Direct Cost BRL (18 itens)</t>
        </is>
      </c>
    </row>
    <row r="24">
      <c r="A24" s="12" t="inlineStr">
        <is>
          <t>CUSTO FINAL (com TP):</t>
        </is>
      </c>
      <c r="C24" s="13" t="n">
        <v>2740662.84</v>
      </c>
      <c r="D24" s="14" t="n">
        <v>537384.8705882353</v>
      </c>
      <c r="E24" s="12" t="inlineStr">
        <is>
          <t>1.000x (baseline)</t>
        </is>
      </c>
    </row>
    <row r="26">
      <c r="A26" s="11" t="inlineStr">
        <is>
          <t>2) MARGEM</t>
        </is>
      </c>
    </row>
    <row r="27">
      <c r="A27" t="inlineStr">
        <is>
          <t>Base p/ margem</t>
        </is>
      </c>
      <c r="B27" s="18" t="inlineStr">
        <is>
          <t>Custo Final - TP (o TP fica fora da nossa base de margem - é margem da WBT USA, não nossa)</t>
        </is>
      </c>
      <c r="F27" s="18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>
      <c r="A28" t="inlineStr">
        <is>
          <t>Margem alvo (TDM)</t>
        </is>
      </c>
      <c r="B28" s="18" t="inlineStr">
        <is>
          <t>Editável - ver célula B4 da aba Resumo Executivo (P&amp;L)</t>
        </is>
      </c>
      <c r="F28" s="18" t="inlineStr">
        <is>
          <t>Alvo do Matheus pra esse exercício: 45%</t>
        </is>
      </c>
    </row>
    <row r="29">
      <c r="A29" s="12" t="inlineStr">
        <is>
          <t>PREÇO LÍQUIDO ('NOSSO PREÇO'):</t>
        </is>
      </c>
      <c r="C29" s="13" t="n">
        <v>4820889.417272727</v>
      </c>
      <c r="D29" s="14" t="n">
        <v>945272.4347593583</v>
      </c>
      <c r="E29" t="inlineStr">
        <is>
          <t>1.759x</t>
        </is>
      </c>
    </row>
    <row r="31">
      <c r="A31" s="11" t="inlineStr">
        <is>
          <t>3) IMPOSTOS DE SAÍDA (o cliente paga; não afetam nossa margem)</t>
        </is>
      </c>
    </row>
    <row r="32">
      <c r="A32" t="inlineStr">
        <is>
          <t>PIS/COFINS</t>
        </is>
      </c>
      <c r="B32" s="18" t="inlineStr">
        <is>
          <t>Preço Líquido / (1 - 10.06%) - por dentro, taxa blended real por NCM</t>
        </is>
      </c>
      <c r="F32" s="18" t="inlineStr">
        <is>
          <t>Aba 'II' do Material Pricing.xlsm (PIS+COFINS real por NCM) pros itens conhecidos, pior caso 9,25% pro resto</t>
        </is>
      </c>
    </row>
    <row r="33">
      <c r="A33" t="inlineStr">
        <is>
          <t>ICMS</t>
        </is>
      </c>
      <c r="B33" s="18" t="inlineStr">
        <is>
          <t>Subtotal anterior / (1 - 18%) - por dentro, empilhado sobre PIS/COFINS</t>
        </is>
      </c>
      <c r="F33" s="18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>
      <c r="A34" t="inlineStr">
        <is>
          <t>IPI</t>
        </is>
      </c>
      <c r="B34" s="18" t="inlineStr">
        <is>
          <t>Subtotal anterior x IPI% blended - somado por fora, não é por dentro</t>
        </is>
      </c>
      <c r="F34" s="18" t="inlineStr">
        <is>
          <t>Aba 'II' do Material Pricing.xlsm (IPI real por NCM) pros itens conhecidos, pior caso 9,75% pro resto</t>
        </is>
      </c>
    </row>
    <row r="35">
      <c r="A35" s="12" t="inlineStr">
        <is>
          <t>PREÇO FINAL AO CLIENTE:</t>
        </is>
      </c>
      <c r="C35" s="13" t="n">
        <v>7170137.27553661</v>
      </c>
      <c r="D35" s="14" t="n">
        <v>1405909.269713061</v>
      </c>
      <c r="E35" t="inlineStr">
        <is>
          <t>2.616x</t>
        </is>
      </c>
    </row>
    <row r="37">
      <c r="A37" s="11" t="inlineStr">
        <is>
          <t>4) REGISTRO DE PREMISSAS (questione um input específico aqui, não o número todo)</t>
        </is>
      </c>
    </row>
    <row r="38">
      <c r="A38" s="2" t="inlineStr">
        <is>
          <t>Premissa</t>
        </is>
      </c>
      <c r="B38" s="2" t="inlineStr">
        <is>
          <t>Valor Usado</t>
        </is>
      </c>
      <c r="C38" s="2" t="inlineStr">
        <is>
          <t>Confiança</t>
        </is>
      </c>
      <c r="D38" s="2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18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18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18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18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18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18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18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18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18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18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18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18" t="inlineStr">
        <is>
          <t>Ainda não inclui ISS (imposto sobre serviço) na parte de mão de obra - desconsiderado por enquanto a pedido do Matheus</t>
        </is>
      </c>
    </row>
    <row r="52">
      <c r="A52" s="11" t="inlineStr">
        <is>
          <t>5) SENSIBILIDADE DA MARGEM (mesma base de custo, TDM diferentes)</t>
        </is>
      </c>
    </row>
    <row r="53">
      <c r="A53" s="19" t="inlineStr">
        <is>
          <t>TDM</t>
        </is>
      </c>
      <c r="B53" s="19" t="inlineStr">
        <is>
          <t>Preço Líquido (Nosso Preço) USD</t>
        </is>
      </c>
      <c r="C53" s="19" t="inlineStr">
        <is>
          <t>Preço Final ao Cliente USD</t>
        </is>
      </c>
    </row>
    <row r="54">
      <c r="A54" s="17" t="n">
        <v>0.3</v>
      </c>
      <c r="B54" s="3" t="n">
        <v>751040.2613445378</v>
      </c>
      <c r="C54" s="3" t="n">
        <v>1117026.612143629</v>
      </c>
    </row>
    <row r="56">
      <c r="A56" s="17" t="n">
        <v>0.35</v>
      </c>
      <c r="B56" s="3" t="n">
        <v>805823.6948717949</v>
      </c>
      <c r="C56" s="3" t="n">
        <v>1198506.336073469</v>
      </c>
    </row>
    <row r="58">
      <c r="A58" s="17" t="n">
        <v>0.4</v>
      </c>
      <c r="B58" s="3" t="n">
        <v>869737.7006535948</v>
      </c>
      <c r="C58" s="3" t="n">
        <v>1293566.013991615</v>
      </c>
    </row>
    <row r="60">
      <c r="A60" s="20" t="n">
        <v>0.45</v>
      </c>
      <c r="B60" s="21" t="n">
        <v>945272.4347593583</v>
      </c>
      <c r="C60" s="21" t="n">
        <v>1405909.269713061</v>
      </c>
    </row>
    <row r="62">
      <c r="A62" s="17" t="n">
        <v>0.5</v>
      </c>
      <c r="B62" s="3" t="n">
        <v>1035914.115686275</v>
      </c>
      <c r="C62" s="3" t="n">
        <v>1540721.176578796</v>
      </c>
    </row>
    <row r="64">
      <c r="A64" s="17" t="n">
        <v>0.55</v>
      </c>
      <c r="B64" s="3" t="n">
        <v>1146698.392374728</v>
      </c>
      <c r="C64" s="3" t="n">
        <v>1705491.28497025</v>
      </c>
    </row>
    <row r="66">
      <c r="A66" s="10" t="inlineStr">
        <is>
          <t>Notas:</t>
        </is>
      </c>
    </row>
    <row r="67">
      <c r="A67" s="8" t="inlineStr">
        <is>
          <t>- Esta aba é complementar à 'Resumo Executivo (P&amp;L)' - mesmos números, mas cada linha se explica.</t>
        </is>
      </c>
    </row>
    <row r="68">
      <c r="A68" s="8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2026-09-23T01:17:46Z</dcterms:modified>
</cp:coreProperties>
</file>