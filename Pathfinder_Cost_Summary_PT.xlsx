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Lista de Itens" sheetId="1" state="visible" r:id="rId1"/>
    <sheet xmlns:r="http://schemas.openxmlformats.org/officeDocument/2006/relationships" name="Resumo Executivo (P&amp;L)" sheetId="2" state="visible" r:id="rId2"/>
    <sheet xmlns:r="http://schemas.openxmlformats.org/officeDocument/2006/relationships" name="Detalhamento do Preço" sheetId="3" state="visible" r:id="rId3"/>
    <sheet xmlns:r="http://schemas.openxmlformats.org/officeDocument/2006/relationships" name="Simulação" sheetId="4" state="visible" r:id="rId4"/>
  </sheets>
  <definedNames>
    <definedName name="_xlnm._FilterDatabase" localSheetId="0" hidden="1">'Lista de Itens'!$A$3:$M$165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$\ #,##0.00"/>
    <numFmt numFmtId="165" formatCode="\R\$\ #,##0.00"/>
    <numFmt numFmtId="166" formatCode="0.000"/>
    <numFmt numFmtId="167" formatCode="0.0&quot;x&quot;"/>
  </numFmts>
  <fonts count="14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sz val="12"/>
    </font>
    <font>
      <b val="1"/>
      <sz val="13"/>
    </font>
    <font>
      <i val="1"/>
      <color rgb="FF808080"/>
      <sz val="9"/>
    </font>
    <font>
      <b val="1"/>
    </font>
    <font>
      <b val="1"/>
      <sz val="12"/>
    </font>
    <font>
      <b val="1"/>
      <color rgb="FFFFFFFF"/>
    </font>
    <font>
      <i val="1"/>
      <color rgb="FF808080"/>
      <sz val="8"/>
    </font>
    <font>
      <i val="1"/>
      <color rgb="FFCC0000"/>
      <sz val="9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4" fontId="3" fillId="3" borderId="1" pivotButton="0" quotePrefix="0" xfId="0"/>
    <xf numFmtId="164" fontId="6" fillId="4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3" borderId="2" pivotButton="0" quotePrefix="0" xfId="0"/>
    <xf numFmtId="2" fontId="0" fillId="0" borderId="0" pivotButton="0" quotePrefix="0" xfId="0"/>
    <xf numFmtId="164" fontId="0" fillId="3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vertical="center" wrapText="1"/>
    </xf>
    <xf numFmtId="165" fontId="0" fillId="4" borderId="0" pivotButton="0" quotePrefix="0" xfId="0"/>
    <xf numFmtId="164" fontId="0" fillId="4" borderId="0" pivotButton="0" quotePrefix="0" xfId="0"/>
    <xf numFmtId="165" fontId="10" fillId="4" borderId="0" pivotButton="0" quotePrefix="0" xfId="0"/>
    <xf numFmtId="164" fontId="10" fillId="4" borderId="0" pivotButton="0" quotePrefix="0" xfId="0"/>
    <xf numFmtId="165" fontId="10" fillId="0" borderId="0" pivotButton="0" quotePrefix="0" xfId="0"/>
    <xf numFmtId="164" fontId="10" fillId="0" borderId="0" pivotButton="0" quotePrefix="0" xfId="0"/>
    <xf numFmtId="165" fontId="9" fillId="0" borderId="0" pivotButton="0" quotePrefix="0" xfId="0"/>
    <xf numFmtId="167" fontId="9" fillId="0" borderId="0" pivotButton="0" quotePrefix="0" xfId="0"/>
    <xf numFmtId="164" fontId="9" fillId="0" borderId="0" pivotButton="0" quotePrefix="0" xfId="0"/>
    <xf numFmtId="0" fontId="9" fillId="0" borderId="0" applyAlignment="1" pivotButton="0" quotePrefix="0" xfId="0">
      <alignment vertical="center" wrapText="1"/>
    </xf>
    <xf numFmtId="2" fontId="9" fillId="3" borderId="2" pivotButton="0" quotePrefix="0" xfId="0"/>
    <xf numFmtId="165" fontId="12" fillId="0" borderId="0" pivotButton="0" quotePrefix="0" xfId="0"/>
    <xf numFmtId="0" fontId="13" fillId="0" borderId="0" applyAlignment="1" pivotButton="0" quotePrefix="0" xfId="0">
      <alignment wrapText="1"/>
    </xf>
    <xf numFmtId="0" fontId="1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G5" sqref="G5"/>
    </sheetView>
  </sheetViews>
  <sheetFormatPr baseColWidth="8" defaultRowHeight="15"/>
  <cols>
    <col width="22" customWidth="1" style="22" min="1" max="1"/>
    <col width="42" customWidth="1" style="22" min="2" max="2"/>
    <col width="26" customWidth="1" style="22" min="3" max="3"/>
    <col width="22" customWidth="1" style="22" min="4" max="4"/>
    <col width="10" customWidth="1" style="22" min="5" max="5"/>
    <col width="20" customWidth="1" style="22" min="6" max="8"/>
    <col width="12" customWidth="1" style="22" min="9" max="9"/>
    <col width="14" customWidth="1" style="22" min="10" max="10"/>
    <col width="12" customWidth="1" style="22" min="11" max="11"/>
    <col width="22" customWidth="1" style="22" min="12" max="12"/>
    <col width="30" customWidth="1" style="22" min="13" max="13"/>
  </cols>
  <sheetData>
    <row r="1" ht="17.25" customHeight="1" s="22">
      <c r="A1" s="21" t="inlineStr">
        <is>
          <t>LISTA DE ITENS - Proposta de Custo MRS Pathfinder GDT</t>
        </is>
      </c>
    </row>
    <row r="3" ht="45" customHeight="1" s="22">
      <c r="A3" s="1" t="inlineStr">
        <is>
          <t>Part Number</t>
        </is>
      </c>
      <c r="B3" s="1" t="inlineStr">
        <is>
          <t>Descrição</t>
        </is>
      </c>
      <c r="C3" s="1" t="inlineStr">
        <is>
          <t>Sistema</t>
        </is>
      </c>
      <c r="D3" s="1" t="inlineStr">
        <is>
          <t>Subsistema</t>
        </is>
      </c>
      <c r="E3" s="1" t="inlineStr">
        <is>
          <t>Quantidade</t>
        </is>
      </c>
      <c r="F3" s="1" t="inlineStr">
        <is>
          <t>Fonte do Custo</t>
        </is>
      </c>
      <c r="G3" s="1" t="inlineStr">
        <is>
          <t>Custo Unitário USD (Itens Importados, sem markup)</t>
        </is>
      </c>
      <c r="H3" s="1" t="inlineStr">
        <is>
          <t>Custo Unitário BRL (Itens PAC, custo local nacionalizado)</t>
        </is>
      </c>
      <c r="I3" s="1" t="inlineStr">
        <is>
          <t>Peso (kg)</t>
        </is>
      </c>
      <c r="J3" s="1" t="inlineStr">
        <is>
          <t>Confiança do Peso</t>
        </is>
      </c>
      <c r="K3" s="1" t="inlineStr">
        <is>
          <t>NCM</t>
        </is>
      </c>
      <c r="L3" s="1" t="inlineStr">
        <is>
          <t>Dimensões (C x A x L, in)</t>
        </is>
      </c>
      <c r="M3" s="1" t="inlineStr">
        <is>
          <t>Observações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Importado (EUA)</t>
        </is>
      </c>
      <c r="G4" s="2" t="n">
        <v>63100.8192</v>
      </c>
      <c r="H4" s="3" t="n"/>
      <c r="I4" s="4" t="n">
        <v>4.536</v>
      </c>
      <c r="J4" t="inlineStr">
        <is>
          <t>High</t>
        </is>
      </c>
      <c r="K4" t="inlineStr">
        <is>
          <t>90328990</t>
        </is>
      </c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Importado (EUA)</t>
        </is>
      </c>
      <c r="G5" s="2" t="n">
        <v>28529</v>
      </c>
      <c r="H5" s="3" t="n"/>
      <c r="I5" s="4" t="n">
        <v>45.359</v>
      </c>
      <c r="J5" t="inlineStr">
        <is>
          <t>High</t>
        </is>
      </c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Importado (EUA)</t>
        </is>
      </c>
      <c r="G6" s="2" t="n">
        <v>15685.42</v>
      </c>
      <c r="H6" s="3" t="n"/>
      <c r="I6" s="4" t="n">
        <v>1123.095</v>
      </c>
      <c r="J6" t="inlineStr">
        <is>
          <t>High</t>
        </is>
      </c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Importado (EUA)</t>
        </is>
      </c>
      <c r="G7" s="2" t="n">
        <v>30000</v>
      </c>
      <c r="H7" s="3" t="n"/>
      <c r="I7" s="4" t="n">
        <v>136.078</v>
      </c>
      <c r="J7" t="inlineStr">
        <is>
          <t>High</t>
        </is>
      </c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Importado (EUA)</t>
        </is>
      </c>
      <c r="G8" s="2" t="n">
        <v>23409.1</v>
      </c>
      <c r="H8" s="3" t="n"/>
      <c r="I8" s="4" t="n">
        <v>134.263</v>
      </c>
      <c r="J8" t="inlineStr">
        <is>
          <t>High</t>
        </is>
      </c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Importado (EUA)</t>
        </is>
      </c>
      <c r="G9" s="2" t="n">
        <v>20000</v>
      </c>
      <c r="H9" s="3" t="n"/>
      <c r="I9" s="4" t="n">
        <v>9.616</v>
      </c>
      <c r="J9" t="inlineStr">
        <is>
          <t>High</t>
        </is>
      </c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Importado (EUA)</t>
        </is>
      </c>
      <c r="G10" s="2" t="n">
        <v>5176.9118</v>
      </c>
      <c r="H10" s="3" t="n"/>
      <c r="I10" s="4" t="n">
        <v>8.618</v>
      </c>
      <c r="J10" t="inlineStr">
        <is>
          <t>High</t>
        </is>
      </c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Importado (EUA)</t>
        </is>
      </c>
      <c r="G11" s="2" t="n">
        <v>5000</v>
      </c>
      <c r="H11" s="3" t="n"/>
      <c r="I11" s="4" t="n">
        <v>2.268</v>
      </c>
      <c r="J11" t="inlineStr">
        <is>
          <t>High</t>
        </is>
      </c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Importado (EUA)</t>
        </is>
      </c>
      <c r="G12" s="2" t="n">
        <v>8000</v>
      </c>
      <c r="H12" s="3" t="n"/>
      <c r="I12" s="4" t="n">
        <v>9.071999999999999</v>
      </c>
      <c r="J12" t="inlineStr">
        <is>
          <t>High</t>
        </is>
      </c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(Brasil, nacionalizado)</t>
        </is>
      </c>
      <c r="G13" s="2" t="n"/>
      <c r="H13" s="3" t="n">
        <v>58447.15211818</v>
      </c>
      <c r="I13" s="4" t="n">
        <v>20.412</v>
      </c>
      <c r="J13" t="inlineStr">
        <is>
          <t>High</t>
        </is>
      </c>
      <c r="K13" t="inlineStr">
        <is>
          <t>85371090</t>
        </is>
      </c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(fabricado internamente)</t>
        </is>
      </c>
      <c r="G14" s="2" t="n">
        <v>5877.102</v>
      </c>
      <c r="H14" s="3" t="n"/>
      <c r="I14" s="4" t="n">
        <v>25.855</v>
      </c>
      <c r="J14" t="inlineStr">
        <is>
          <t>High</t>
        </is>
      </c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Importado (EUA)</t>
        </is>
      </c>
      <c r="G15" s="2" t="n">
        <v>5702.83</v>
      </c>
      <c r="H15" s="3" t="n"/>
      <c r="I15" s="4" t="n">
        <v>7.938</v>
      </c>
      <c r="J15" t="inlineStr">
        <is>
          <t>High</t>
        </is>
      </c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Importado (EUA)</t>
        </is>
      </c>
      <c r="G16" s="2" t="n">
        <v>4150.9559</v>
      </c>
      <c r="H16" s="3" t="n"/>
      <c r="I16" s="4" t="n">
        <v>4.99</v>
      </c>
      <c r="J16" t="inlineStr">
        <is>
          <t>High</t>
        </is>
      </c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Importado (EUA)</t>
        </is>
      </c>
      <c r="G17" s="2" t="n">
        <v>3933</v>
      </c>
      <c r="H17" s="3" t="n"/>
      <c r="I17" s="4" t="n">
        <v>7.575</v>
      </c>
      <c r="J17" t="inlineStr">
        <is>
          <t>High</t>
        </is>
      </c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Importado (EUA)</t>
        </is>
      </c>
      <c r="G18" s="2" t="n">
        <v>2981.71</v>
      </c>
      <c r="H18" s="3" t="n"/>
      <c r="I18" s="4" t="n">
        <v>4.536</v>
      </c>
      <c r="J18" t="inlineStr">
        <is>
          <t>High</t>
        </is>
      </c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(Brasil, nacionalizado)</t>
        </is>
      </c>
      <c r="G19" s="2" t="n"/>
      <c r="H19" s="3" t="n">
        <v>15041.53990717839</v>
      </c>
      <c r="I19" s="4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(fabricado internamente)</t>
        </is>
      </c>
      <c r="G20" s="2" t="n">
        <v>1572.36</v>
      </c>
      <c r="H20" s="3" t="n"/>
      <c r="I20" s="4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Importado (EUA)</t>
        </is>
      </c>
      <c r="G21" s="2" t="n">
        <v>1891.99</v>
      </c>
      <c r="H21" s="3" t="n"/>
      <c r="I21" s="4" t="n">
        <v>4.536</v>
      </c>
      <c r="J21" t="inlineStr">
        <is>
          <t>High</t>
        </is>
      </c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Importado (EUA)</t>
        </is>
      </c>
      <c r="G22" s="2" t="n">
        <v>800</v>
      </c>
      <c r="H22" s="3" t="n"/>
      <c r="I22" s="4" t="n">
        <v>2.268</v>
      </c>
      <c r="J22" t="inlineStr">
        <is>
          <t>High</t>
        </is>
      </c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Importado (EUA)</t>
        </is>
      </c>
      <c r="G23" s="2" t="n">
        <v>375</v>
      </c>
      <c r="H23" s="3" t="n"/>
      <c r="I23" s="4" t="n">
        <v>0.907</v>
      </c>
      <c r="J23" t="inlineStr">
        <is>
          <t>High</t>
        </is>
      </c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(Brasil, nacionalizado)</t>
        </is>
      </c>
      <c r="G24" s="2" t="n"/>
      <c r="H24" s="3" t="n">
        <v>11603.7169581856</v>
      </c>
      <c r="I24" s="4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(Brasil, nacionalizado)</t>
        </is>
      </c>
      <c r="G25" s="2" t="n"/>
      <c r="H25" s="3" t="n">
        <v>11603.7169581856</v>
      </c>
      <c r="I25" s="4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(Brasil, nacionalizado)</t>
        </is>
      </c>
      <c r="G26" s="2" t="n"/>
      <c r="H26" s="3" t="n">
        <v>9491.457082650917</v>
      </c>
      <c r="I26" s="4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(Brasil, nacionalizado)</t>
        </is>
      </c>
      <c r="G27" s="2" t="n"/>
      <c r="H27" s="3" t="n">
        <v>9251.123897523161</v>
      </c>
      <c r="I27" s="4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Importado (EUA)</t>
        </is>
      </c>
      <c r="G28" s="2" t="n">
        <v>1036.89</v>
      </c>
      <c r="H28" s="3" t="n"/>
      <c r="I28" s="4" t="n">
        <v>1.247</v>
      </c>
      <c r="J28" t="inlineStr">
        <is>
          <t>Medium</t>
        </is>
      </c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(fabricado internamente)</t>
        </is>
      </c>
      <c r="G29" s="2" t="n"/>
      <c r="H29" s="3" t="n"/>
      <c r="I29" s="4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(Brasil, nacionalizado)</t>
        </is>
      </c>
      <c r="G30" s="2" t="n"/>
      <c r="H30" s="3" t="n">
        <v>326.2230055294123</v>
      </c>
      <c r="I30" s="4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Peso suspeito, verificar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Importado (EUA)</t>
        </is>
      </c>
      <c r="G31" s="2" t="n">
        <v>761</v>
      </c>
      <c r="H31" s="3" t="n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(fabricado internamente)</t>
        </is>
      </c>
      <c r="G32" s="2" t="n"/>
      <c r="H32" s="3" t="n"/>
      <c r="I32" s="4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Importado (EUA)</t>
        </is>
      </c>
      <c r="G33" s="2" t="n">
        <v>595.7889</v>
      </c>
      <c r="H33" s="3" t="n"/>
      <c r="I33" s="4" t="n">
        <v>5.897</v>
      </c>
      <c r="J33" t="inlineStr">
        <is>
          <t>Medium</t>
        </is>
      </c>
      <c r="K33" t="inlineStr">
        <is>
          <t>85381000</t>
        </is>
      </c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(Brasil, nacionalizado)</t>
        </is>
      </c>
      <c r="G34" s="2" t="n"/>
      <c r="H34" s="3" t="n">
        <v>127.4757723945537</v>
      </c>
      <c r="I34" s="4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Importado (EUA)</t>
        </is>
      </c>
      <c r="G35" s="2" t="n">
        <v>411.22</v>
      </c>
      <c r="H35" s="3" t="n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Importado (EUA)</t>
        </is>
      </c>
      <c r="G36" s="2" t="n">
        <v>404.6239</v>
      </c>
      <c r="H36" s="3" t="n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(Brasil, nacionalizado)</t>
        </is>
      </c>
      <c r="G37" s="2" t="n"/>
      <c r="H37" s="3" t="n">
        <v>1480.863670329737</v>
      </c>
      <c r="I37" s="4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(Brasil, nacionalizado)</t>
        </is>
      </c>
      <c r="G38" s="2" t="n"/>
      <c r="H38" s="3" t="n">
        <v>2843.376868605715</v>
      </c>
      <c r="I38" s="4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(Brasil, nacionalizado)</t>
        </is>
      </c>
      <c r="G39" s="2" t="n"/>
      <c r="H39" s="3" t="n">
        <v>2534.886672428763</v>
      </c>
      <c r="I39" s="4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(Brasil, nacionalizado)</t>
        </is>
      </c>
      <c r="G40" s="2" t="n"/>
      <c r="H40" s="3" t="n">
        <v>2382.374748689938</v>
      </c>
      <c r="I40" s="4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(Brasil, nacionalizado)</t>
        </is>
      </c>
      <c r="G41" s="2" t="n"/>
      <c r="H41" s="3" t="n">
        <v>2132.24431804</v>
      </c>
      <c r="I41" s="4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(Brasil, nacionalizado)</t>
        </is>
      </c>
      <c r="G42" s="2" t="n"/>
      <c r="H42" s="3" t="n">
        <v>1794.802418041144</v>
      </c>
      <c r="I42" s="4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Importado (EUA)</t>
        </is>
      </c>
      <c r="G43" s="2" t="n">
        <v>205</v>
      </c>
      <c r="H43" s="3" t="n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Importado (EUA)</t>
        </is>
      </c>
      <c r="G44" s="2" t="n">
        <v>8.118</v>
      </c>
      <c r="H44" s="3" t="n"/>
      <c r="I44" s="4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Importado (EUA)</t>
        </is>
      </c>
      <c r="G45" s="2" t="n">
        <v>171.544</v>
      </c>
      <c r="H45" s="3" t="n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Importado (EUA)</t>
        </is>
      </c>
      <c r="G46" s="2" t="n">
        <v>159</v>
      </c>
      <c r="H46" s="3" t="n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(Brasil, nacionalizado)</t>
        </is>
      </c>
      <c r="G47" s="2" t="n"/>
      <c r="H47" s="3" t="n">
        <v>649.5972609459074</v>
      </c>
      <c r="I47" s="4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(Brasil, nacionalizado)</t>
        </is>
      </c>
      <c r="G48" s="2" t="n"/>
      <c r="H48" s="3" t="n">
        <v>1282.454710102509</v>
      </c>
      <c r="I48" s="4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(Brasil, nacionalizado)</t>
        </is>
      </c>
      <c r="G49" s="2" t="n"/>
      <c r="H49" s="3" t="n">
        <v>1139.620211260358</v>
      </c>
      <c r="I49" s="4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(Brasil, nacionalizado)</t>
        </is>
      </c>
      <c r="G50" s="2" t="n"/>
      <c r="H50" s="3" t="n">
        <v>1117.58376306</v>
      </c>
      <c r="I50" s="4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(Brasil, nacionalizado)</t>
        </is>
      </c>
      <c r="G51" s="2" t="n"/>
      <c r="H51" s="3" t="n">
        <v>63.81299476570191</v>
      </c>
      <c r="I51" s="4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(Brasil, nacionalizado)</t>
        </is>
      </c>
      <c r="G52" s="2" t="n"/>
      <c r="H52" s="3" t="n">
        <v>975.6429302812419</v>
      </c>
      <c r="I52" s="4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(Brasil, nacionalizado)</t>
        </is>
      </c>
      <c r="G53" s="2" t="n"/>
      <c r="H53" s="3" t="n">
        <v>946.5515381766586</v>
      </c>
      <c r="I53" s="4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(Brasil, nacionalizado)</t>
        </is>
      </c>
      <c r="G54" s="2" t="n"/>
      <c r="H54" s="3" t="n">
        <v>303.7320157473332</v>
      </c>
      <c r="I54" s="4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(Brasil, nacionalizado)</t>
        </is>
      </c>
      <c r="G55" s="2" t="n"/>
      <c r="H55" s="3" t="n">
        <v>17.96488796336743</v>
      </c>
      <c r="I55" s="4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(Brasil, nacionalizado)</t>
        </is>
      </c>
      <c r="G56" s="2" t="n"/>
      <c r="H56" s="3" t="n">
        <v>803.9672625806097</v>
      </c>
      <c r="I56" s="4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(Brasil, nacionalizado)</t>
        </is>
      </c>
      <c r="G57" s="2" t="n"/>
      <c r="H57" s="3" t="n">
        <v>749.1604054445767</v>
      </c>
      <c r="I57" s="4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Importado (EUA)</t>
        </is>
      </c>
      <c r="G58" s="2" t="n">
        <v>29.9096</v>
      </c>
      <c r="H58" s="3" t="n"/>
      <c r="I58" s="4" t="n">
        <v>0</v>
      </c>
      <c r="J58" t="inlineStr">
        <is>
          <t>High</t>
        </is>
      </c>
      <c r="L58" t="inlineStr">
        <is>
          <t>0x0x0</t>
        </is>
      </c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(Brasil, nacionalizado)</t>
        </is>
      </c>
      <c r="G59" s="2" t="n"/>
      <c r="H59" s="3" t="n">
        <v>702.9855310248125</v>
      </c>
      <c r="I59" s="4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(Brasil, nacionalizado)</t>
        </is>
      </c>
      <c r="G60" s="2" t="n"/>
      <c r="H60" s="3" t="n">
        <v>695.0807882115457</v>
      </c>
      <c r="I60" s="4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(Brasil, nacionalizado)</t>
        </is>
      </c>
      <c r="G61" s="2" t="n"/>
      <c r="H61" s="3" t="n">
        <v>346.9724620785378</v>
      </c>
      <c r="I61" s="4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(Brasil, nacionalizado)</t>
        </is>
      </c>
      <c r="G62" s="2" t="n"/>
      <c r="H62" s="3" t="n">
        <v>22.8021444078655</v>
      </c>
      <c r="I62" s="4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(Brasil, nacionalizado)</t>
        </is>
      </c>
      <c r="G63" s="2" t="n"/>
      <c r="H63" s="3" t="n">
        <v>682.4547468272788</v>
      </c>
      <c r="I63" s="4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Importado (EUA)</t>
        </is>
      </c>
      <c r="G64" s="2" t="n">
        <v>79.83</v>
      </c>
      <c r="H64" s="3" t="n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(Brasil, nacionalizado)</t>
        </is>
      </c>
      <c r="G65" s="2" t="n"/>
      <c r="H65" s="3" t="n">
        <v>625.709413769385</v>
      </c>
      <c r="I65" s="4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Importado (EUA)</t>
        </is>
      </c>
      <c r="G66" s="2" t="n">
        <v>24.1998</v>
      </c>
      <c r="H66" s="3" t="n"/>
      <c r="I66" s="4" t="n">
        <v>0.005</v>
      </c>
      <c r="J66" t="inlineStr">
        <is>
          <t>High</t>
        </is>
      </c>
      <c r="L66" t="inlineStr">
        <is>
          <t>0x0x0</t>
        </is>
      </c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Importado (EUA)</t>
        </is>
      </c>
      <c r="G67" s="2" t="n">
        <v>72.41</v>
      </c>
      <c r="H67" s="3" t="n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Importado (EUA)</t>
        </is>
      </c>
      <c r="G68" s="2" t="n">
        <v>71.94</v>
      </c>
      <c r="H68" s="3" t="n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Importado (EUA)</t>
        </is>
      </c>
      <c r="G69" s="2" t="n">
        <v>71.94</v>
      </c>
      <c r="H69" s="3" t="n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Importado (EUA)</t>
        </is>
      </c>
      <c r="G70" s="2" t="n">
        <v>23.9499</v>
      </c>
      <c r="H70" s="3" t="n"/>
      <c r="I70" s="4" t="n">
        <v>0.054</v>
      </c>
      <c r="J70" t="inlineStr">
        <is>
          <t>High</t>
        </is>
      </c>
      <c r="L70" t="inlineStr">
        <is>
          <t>0x0x0</t>
        </is>
      </c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(Brasil, nacionalizado)</t>
        </is>
      </c>
      <c r="G71" s="2" t="n"/>
      <c r="H71" s="3" t="n">
        <v>565.5667330867959</v>
      </c>
      <c r="I71" s="4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(Brasil, nacionalizado)</t>
        </is>
      </c>
      <c r="G72" s="2" t="n"/>
      <c r="H72" s="3" t="n">
        <v>542.7109546658806</v>
      </c>
      <c r="I72" s="4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(Brasil, nacionalizado)</t>
        </is>
      </c>
      <c r="G73" s="2" t="n"/>
      <c r="H73" s="3" t="n">
        <v>530.7161691061002</v>
      </c>
      <c r="I73" s="4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Importado (EUA)</t>
        </is>
      </c>
      <c r="G74" s="2" t="n">
        <v>21.2198</v>
      </c>
      <c r="H74" s="3" t="n"/>
      <c r="I74" s="4" t="n">
        <v>0.045</v>
      </c>
      <c r="J74" t="inlineStr">
        <is>
          <t>High</t>
        </is>
      </c>
      <c r="L74" t="inlineStr">
        <is>
          <t>1.5x1x1.5</t>
        </is>
      </c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Importado (EUA)</t>
        </is>
      </c>
      <c r="G75" s="2" t="n">
        <v>59.75</v>
      </c>
      <c r="H75" s="3" t="n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Importado (EUA)</t>
        </is>
      </c>
      <c r="G76" s="2" t="n">
        <v>19.67</v>
      </c>
      <c r="H76" s="3" t="n"/>
      <c r="I76" s="4" t="n">
        <v>0</v>
      </c>
      <c r="J76" t="inlineStr">
        <is>
          <t>High</t>
        </is>
      </c>
      <c r="L76" t="inlineStr">
        <is>
          <t>0x0x0</t>
        </is>
      </c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Importado (EUA)</t>
        </is>
      </c>
      <c r="G77" s="2" t="n">
        <v>19.5574</v>
      </c>
      <c r="H77" s="3" t="n"/>
      <c r="I77" s="4" t="n">
        <v>0.02</v>
      </c>
      <c r="J77" t="inlineStr">
        <is>
          <t>High</t>
        </is>
      </c>
      <c r="L77" t="inlineStr">
        <is>
          <t>0x0x0</t>
        </is>
      </c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(Brasil, nacionalizado)</t>
        </is>
      </c>
      <c r="G78" s="2" t="n"/>
      <c r="H78" s="3" t="n">
        <v>480.42768458</v>
      </c>
      <c r="I78" s="4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Importado (EUA)</t>
        </is>
      </c>
      <c r="G79" s="2" t="n">
        <v>19.173</v>
      </c>
      <c r="H79" s="3" t="n"/>
      <c r="I79" s="4" t="n">
        <v>0</v>
      </c>
      <c r="J79" t="inlineStr">
        <is>
          <t>High</t>
        </is>
      </c>
      <c r="L79" t="inlineStr">
        <is>
          <t>0x0x0</t>
        </is>
      </c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(Brasil, nacionalizado)</t>
        </is>
      </c>
      <c r="G80" s="2" t="n"/>
      <c r="H80" s="3" t="n">
        <v>472.9130251471875</v>
      </c>
      <c r="I80" s="4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Importado (EUA)</t>
        </is>
      </c>
      <c r="G81" s="2" t="n">
        <v>18.9357</v>
      </c>
      <c r="H81" s="3" t="n"/>
      <c r="I81" s="4" t="n">
        <v>0.032</v>
      </c>
      <c r="J81" t="inlineStr">
        <is>
          <t>High</t>
        </is>
      </c>
      <c r="L81" t="inlineStr">
        <is>
          <t>3.95x1.25x6.65</t>
        </is>
      </c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(Brasil, nacionalizado)</t>
        </is>
      </c>
      <c r="G82" s="2" t="n"/>
      <c r="H82" s="3" t="n">
        <v>455.99945986</v>
      </c>
      <c r="I82" s="4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(Brasil, nacionalizado)</t>
        </is>
      </c>
      <c r="G83" s="2" t="n"/>
      <c r="H83" s="3" t="n">
        <v>75.61831999260301</v>
      </c>
      <c r="I83" s="4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(Brasil, nacionalizado)</t>
        </is>
      </c>
      <c r="G84" s="2" t="n"/>
      <c r="H84" s="3" t="n">
        <v>443.6886040169398</v>
      </c>
      <c r="I84" s="4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(Brasil, nacionalizado)</t>
        </is>
      </c>
      <c r="G85" s="2" t="n"/>
      <c r="H85" s="3" t="n">
        <v>427.1110017585059</v>
      </c>
      <c r="I85" s="4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(Brasil, nacionalizado)</t>
        </is>
      </c>
      <c r="G86" s="2" t="n"/>
      <c r="H86" s="3" t="n">
        <v>411.954794</v>
      </c>
      <c r="I86" s="4" t="n">
        <v>0.113</v>
      </c>
      <c r="J86" t="inlineStr">
        <is>
          <t>High</t>
        </is>
      </c>
      <c r="K86" t="inlineStr">
        <is>
          <t>85359090</t>
        </is>
      </c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(Brasil, nacionalizado)</t>
        </is>
      </c>
      <c r="G87" s="2" t="n"/>
      <c r="H87" s="3" t="n">
        <v>397.8067819072219</v>
      </c>
      <c r="I87" s="4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(Brasil, nacionalizado)</t>
        </is>
      </c>
      <c r="G88" s="2" t="n"/>
      <c r="H88" s="3" t="n">
        <v>386.54646388</v>
      </c>
      <c r="I88" s="4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Importado (EUA)</t>
        </is>
      </c>
      <c r="G89" s="2" t="n">
        <v>15.455</v>
      </c>
      <c r="H89" s="3" t="n"/>
      <c r="I89" s="4" t="n">
        <v>0.053</v>
      </c>
      <c r="J89" t="inlineStr">
        <is>
          <t>High</t>
        </is>
      </c>
      <c r="L89" t="inlineStr">
        <is>
          <t>0x0x0</t>
        </is>
      </c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Importado (EUA)</t>
        </is>
      </c>
      <c r="G90" s="2" t="n">
        <v>45.7356</v>
      </c>
      <c r="H90" s="3" t="n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(Brasil, nacionalizado)</t>
        </is>
      </c>
      <c r="G91" s="2" t="n"/>
      <c r="H91" s="3" t="n">
        <v>376.7276750701055</v>
      </c>
      <c r="I91" s="4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(Brasil, nacionalizado)</t>
        </is>
      </c>
      <c r="G92" s="2" t="n"/>
      <c r="H92" s="3" t="n">
        <v>358.9008553096465</v>
      </c>
      <c r="I92" s="4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(Brasil, nacionalizado)</t>
        </is>
      </c>
      <c r="G93" s="2" t="n"/>
      <c r="H93" s="3" t="n">
        <v>335.094659697125</v>
      </c>
      <c r="I93" s="4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(Brasil, nacionalizado)</t>
        </is>
      </c>
      <c r="G94" s="2" t="n"/>
      <c r="H94" s="3" t="n">
        <v>2.812453614444445</v>
      </c>
      <c r="I94" s="4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(Brasil, nacionalizado)</t>
        </is>
      </c>
      <c r="G95" s="2" t="n"/>
      <c r="H95" s="3" t="n">
        <v>282.4057662957609</v>
      </c>
      <c r="I95" s="4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(Brasil, nacionalizado)</t>
        </is>
      </c>
      <c r="G96" s="2" t="n"/>
      <c r="H96" s="3" t="n">
        <v>262.7862444367175</v>
      </c>
      <c r="I96" s="4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(Brasil, nacionalizado)</t>
        </is>
      </c>
      <c r="G97" s="2" t="n"/>
      <c r="H97" s="3" t="n">
        <v>198.4070498284668</v>
      </c>
      <c r="I97" s="4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Importado (EUA)</t>
        </is>
      </c>
      <c r="G98" s="2" t="n">
        <v>22.0206</v>
      </c>
      <c r="H98" s="3" t="n"/>
      <c r="I98" s="4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(Brasil, nacionalizado)</t>
        </is>
      </c>
      <c r="G99" s="2" t="n"/>
      <c r="H99" s="3" t="n">
        <v>2.091366466603</v>
      </c>
      <c r="I99" s="4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(Brasil, nacionalizado)</t>
        </is>
      </c>
      <c r="G100" s="2" t="n"/>
      <c r="H100" s="3" t="n">
        <v>153.88089446</v>
      </c>
      <c r="I100" s="4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(Brasil, nacionalizado)</t>
        </is>
      </c>
      <c r="G101" s="2" t="n"/>
      <c r="H101" s="3" t="n">
        <v>153.7357094511405</v>
      </c>
      <c r="I101" s="4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(Brasil, nacionalizado)</t>
        </is>
      </c>
      <c r="G102" s="2" t="n"/>
      <c r="H102" s="3" t="n">
        <v>152.3867404431294</v>
      </c>
      <c r="I102" s="4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(Brasil, nacionalizado)</t>
        </is>
      </c>
      <c r="G103" s="2" t="n"/>
      <c r="H103" s="3" t="n">
        <v>151.7252454611397</v>
      </c>
      <c r="I103" s="4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(Brasil, nacionalizado)</t>
        </is>
      </c>
      <c r="G104" s="2" t="n"/>
      <c r="H104" s="3" t="n">
        <v>149.4393378845015</v>
      </c>
      <c r="I104" s="4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(Brasil, nacionalizado)</t>
        </is>
      </c>
      <c r="G105" s="2" t="n"/>
      <c r="H105" s="3" t="n">
        <v>148.7452649547134</v>
      </c>
      <c r="I105" s="4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(Brasil, nacionalizado)</t>
        </is>
      </c>
      <c r="G106" s="2" t="n"/>
      <c r="H106" s="3" t="n">
        <v>143.4047041185088</v>
      </c>
      <c r="I106" s="4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(Brasil, nacionalizado)</t>
        </is>
      </c>
      <c r="G107" s="2" t="n"/>
      <c r="H107" s="3" t="n">
        <v>136.9356335604061</v>
      </c>
      <c r="I107" s="4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(Brasil, nacionalizado)</t>
        </is>
      </c>
      <c r="G108" s="2" t="n"/>
      <c r="H108" s="3" t="n">
        <v>126.443864959191</v>
      </c>
      <c r="I108" s="4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(Brasil, nacionalizado)</t>
        </is>
      </c>
      <c r="G109" s="2" t="n"/>
      <c r="H109" s="3" t="n">
        <v>125.2602563270813</v>
      </c>
      <c r="I109" s="4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(Brasil, nacionalizado)</t>
        </is>
      </c>
      <c r="G110" s="2" t="n"/>
      <c r="H110" s="3" t="n">
        <v>116.1669559361585</v>
      </c>
      <c r="I110" s="4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Importado (EUA)</t>
        </is>
      </c>
      <c r="G111" s="2" t="n">
        <v>13.66</v>
      </c>
      <c r="H111" s="3" t="n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(Brasil, nacionalizado)</t>
        </is>
      </c>
      <c r="G112" s="2" t="n"/>
      <c r="H112" s="3" t="n">
        <v>108.111171329843</v>
      </c>
      <c r="I112" s="4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(Brasil, nacionalizado)</t>
        </is>
      </c>
      <c r="G113" s="2" t="n"/>
      <c r="H113" s="3" t="n">
        <v>99.2119168891948</v>
      </c>
      <c r="I113" s="4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(Brasil, nacionalizado)</t>
        </is>
      </c>
      <c r="G114" s="2" t="n"/>
      <c r="H114" s="3" t="n">
        <v>5.807163164250667</v>
      </c>
      <c r="I114" s="4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(Brasil, nacionalizado)</t>
        </is>
      </c>
      <c r="G115" s="2" t="n"/>
      <c r="H115" s="3" t="n">
        <v>73.63900235560642</v>
      </c>
      <c r="I115" s="4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(Brasil, nacionalizado)</t>
        </is>
      </c>
      <c r="G116" s="2" t="n"/>
      <c r="H116" s="3" t="n">
        <v>71.52577810125315</v>
      </c>
      <c r="I116" s="4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(Brasil, nacionalizado)</t>
        </is>
      </c>
      <c r="G117" s="2" t="n"/>
      <c r="H117" s="3" t="n">
        <v>69.474640858737</v>
      </c>
      <c r="I117" s="4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(Brasil, nacionalizado)</t>
        </is>
      </c>
      <c r="G118" s="2" t="n"/>
      <c r="H118" s="3" t="n">
        <v>5.4707118625</v>
      </c>
      <c r="I118" s="4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(Brasil, nacionalizado)</t>
        </is>
      </c>
      <c r="G119" s="2" t="n"/>
      <c r="H119" s="3" t="n">
        <v>15.50629491024533</v>
      </c>
      <c r="I119" s="4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(Brasil, nacionalizado)</t>
        </is>
      </c>
      <c r="G120" s="2" t="n"/>
      <c r="H120" s="3" t="n">
        <v>58.45426968419057</v>
      </c>
      <c r="I120" s="4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(Brasil, nacionalizado)</t>
        </is>
      </c>
      <c r="G121" s="2" t="n"/>
      <c r="H121" s="3" t="n">
        <v>42.103764342222</v>
      </c>
      <c r="I121" s="4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(Brasil, nacionalizado)</t>
        </is>
      </c>
      <c r="G122" s="2" t="n"/>
      <c r="H122" s="3" t="n">
        <v>41.81244988731875</v>
      </c>
      <c r="I122" s="4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(Brasil, nacionalizado)</t>
        </is>
      </c>
      <c r="G123" s="2" t="n"/>
      <c r="H123" s="3" t="n">
        <v>35.50344794</v>
      </c>
      <c r="I123" s="4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(Brasil, nacionalizado)</t>
        </is>
      </c>
      <c r="G124" s="2" t="n"/>
      <c r="H124" s="3" t="n">
        <v>15.87167340642857</v>
      </c>
      <c r="I124" s="4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(Brasil, nacionalizado)</t>
        </is>
      </c>
      <c r="G125" s="2" t="n"/>
      <c r="H125" s="3" t="n">
        <v>2.6747814998497</v>
      </c>
      <c r="I125" s="4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(Brasil, nacionalizado)</t>
        </is>
      </c>
      <c r="G126" s="2" t="n"/>
      <c r="H126" s="3" t="n">
        <v>1.259049427493</v>
      </c>
      <c r="I126" s="4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Importado (EUA)</t>
        </is>
      </c>
      <c r="G127" s="2" t="n">
        <v>1.9294</v>
      </c>
      <c r="H127" s="3" t="n"/>
      <c r="I127" s="4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(Brasil, nacionalizado)</t>
        </is>
      </c>
      <c r="G128" s="2" t="n"/>
      <c r="H128" s="3" t="n">
        <v>14.20340068983467</v>
      </c>
      <c r="I128" s="4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(Brasil, nacionalizado)</t>
        </is>
      </c>
      <c r="G129" s="2" t="n"/>
      <c r="H129" s="3" t="n">
        <v>13.12510371189</v>
      </c>
      <c r="I129" s="4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(Brasil, nacionalizado)</t>
        </is>
      </c>
      <c r="G130" s="2" t="n"/>
      <c r="H130" s="3" t="n">
        <v>12.61859220518725</v>
      </c>
      <c r="I130" s="4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(Brasil, nacionalizado)</t>
        </is>
      </c>
      <c r="G131" s="2" t="n"/>
      <c r="H131" s="3" t="n">
        <v>12.51965952557345</v>
      </c>
      <c r="I131" s="4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(Brasil, nacionalizado)</t>
        </is>
      </c>
      <c r="G132" s="2" t="n"/>
      <c r="H132" s="3" t="n">
        <v>9.854416569066499</v>
      </c>
      <c r="I132" s="4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(Brasil, nacionalizado)</t>
        </is>
      </c>
      <c r="G133" s="2" t="n"/>
      <c r="H133" s="3" t="n">
        <v>0.5005605610501428</v>
      </c>
      <c r="I133" s="4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(Brasil, nacionalizado)</t>
        </is>
      </c>
      <c r="G134" s="2" t="n"/>
      <c r="H134" s="3" t="n">
        <v>1.836323915118778</v>
      </c>
      <c r="I134" s="4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(Brasil, nacionalizado)</t>
        </is>
      </c>
      <c r="G135" s="2" t="n"/>
      <c r="H135" s="3" t="n">
        <v>5.41762752</v>
      </c>
      <c r="I135" s="4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(Brasil, nacionalizado)</t>
        </is>
      </c>
      <c r="G136" s="2" t="n"/>
      <c r="H136" s="3" t="n">
        <v>5.183658981166286</v>
      </c>
      <c r="I136" s="4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(Brasil, nacionalizado)</t>
        </is>
      </c>
      <c r="G137" s="2" t="n"/>
      <c r="H137" s="3" t="n">
        <v>0.275201176072</v>
      </c>
      <c r="I137" s="4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(Brasil, nacionalizado)</t>
        </is>
      </c>
      <c r="G138" s="2" t="n"/>
      <c r="H138" s="3" t="n">
        <v>0.374666311425375</v>
      </c>
      <c r="I138" s="4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Importado (EUA)</t>
        </is>
      </c>
      <c r="G139" s="2" t="n">
        <v>0.01</v>
      </c>
      <c r="H139" s="3" t="n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Importado (EUA)</t>
        </is>
      </c>
      <c r="G140" s="2" t="n">
        <v>0.01</v>
      </c>
      <c r="H140" s="3" t="n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Incluso / sem custo separado</t>
        </is>
      </c>
      <c r="G141" s="2" t="n"/>
      <c r="H141" s="3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FALTANTE - sem cotação</t>
        </is>
      </c>
      <c r="G142" s="2" t="n"/>
      <c r="H142" s="3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FALTANTE - sem cotação</t>
        </is>
      </c>
      <c r="G143" s="2" t="n"/>
      <c r="H143" s="3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FALTANTE - sem cotação</t>
        </is>
      </c>
      <c r="G144" s="2" t="n"/>
      <c r="H144" s="3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FALTANTE - sem cotação</t>
        </is>
      </c>
      <c r="G145" s="2" t="n"/>
      <c r="H145" s="3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FALTANTE - sem cotação</t>
        </is>
      </c>
      <c r="G146" s="2" t="n"/>
      <c r="H146" s="3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FALTANTE - sem cotação</t>
        </is>
      </c>
      <c r="G147" s="2" t="n"/>
      <c r="H147" s="3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FALTANTE - sem cotação</t>
        </is>
      </c>
      <c r="G148" s="2" t="n"/>
      <c r="H148" s="3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FALTANTE - sem cotação</t>
        </is>
      </c>
      <c r="G149" s="2" t="n"/>
      <c r="H149" s="3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FALTANTE - sem cotação</t>
        </is>
      </c>
      <c r="G150" s="2" t="n"/>
      <c r="H150" s="3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FALTANTE - sem cotação</t>
        </is>
      </c>
      <c r="G151" s="2" t="n"/>
      <c r="H151" s="3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FALTANTE - sem cotação</t>
        </is>
      </c>
      <c r="G152" s="2" t="n"/>
      <c r="H152" s="3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FALTANTE - sem cotação</t>
        </is>
      </c>
      <c r="G153" s="2" t="n"/>
      <c r="H153" s="3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FALTANTE - sem cotação</t>
        </is>
      </c>
      <c r="G154" s="2" t="n"/>
      <c r="H154" s="3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FALTANTE - sem cotação</t>
        </is>
      </c>
      <c r="G155" s="2" t="n"/>
      <c r="H155" s="3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FALTANTE - sem cotação</t>
        </is>
      </c>
      <c r="G156" s="2" t="n"/>
      <c r="H156" s="3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FALTANTE - sem cotação</t>
        </is>
      </c>
      <c r="G157" s="2" t="n"/>
      <c r="H157" s="3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FALTANTE - sem cotação</t>
        </is>
      </c>
      <c r="G158" s="2" t="n"/>
      <c r="H158" s="3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FALTANTE - sem cotação</t>
        </is>
      </c>
      <c r="G159" s="2" t="n"/>
      <c r="H159" s="3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FALTANTE - sem cotação</t>
        </is>
      </c>
      <c r="G160" s="2" t="n"/>
      <c r="H160" s="3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FALTANTE - sem cotação</t>
        </is>
      </c>
      <c r="G161" s="2" t="n"/>
      <c r="H161" s="3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FALTANTE - sem cotação</t>
        </is>
      </c>
      <c r="G162" s="2" t="n"/>
      <c r="H162" s="3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FALTANTE - sem cotação</t>
        </is>
      </c>
      <c r="G163" s="2" t="n"/>
      <c r="H163" s="3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FALTANTE - sem cotação</t>
        </is>
      </c>
      <c r="G164" s="2" t="n"/>
      <c r="H164" s="3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FALTANTE - sem cotação</t>
        </is>
      </c>
      <c r="G165" s="2" t="n"/>
      <c r="H165" s="3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9"/>
  <sheetViews>
    <sheetView tabSelected="1" workbookViewId="0">
      <selection activeCell="B22" sqref="B22"/>
    </sheetView>
  </sheetViews>
  <sheetFormatPr baseColWidth="8" defaultRowHeight="15"/>
  <cols>
    <col width="62" customWidth="1" style="22" min="1" max="1"/>
    <col width="20" customWidth="1" style="22" min="2" max="3"/>
  </cols>
  <sheetData>
    <row r="1" ht="17.25" customHeight="1" s="22">
      <c r="A1" s="21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5" t="n">
        <v>5.1</v>
      </c>
    </row>
    <row r="4">
      <c r="A4" t="inlineStr">
        <is>
          <t>Total Deal Margin (TDM):</t>
        </is>
      </c>
      <c r="B4" s="6" t="n">
        <v>0.45</v>
      </c>
      <c r="D4" s="23" t="inlineStr">
        <is>
          <t>&lt;- editável. Atualiza automaticamente o Preço Líquido e o Preço ao Cliente abaixo.</t>
        </is>
      </c>
    </row>
    <row r="5">
      <c r="A5" t="inlineStr">
        <is>
          <t>PIS/COFINS (blended, NCM real onde disponível):</t>
        </is>
      </c>
      <c r="B5" s="8" t="n">
        <v>0.1006</v>
      </c>
    </row>
    <row r="6">
      <c r="A6" t="inlineStr">
        <is>
          <t>ICMS:</t>
        </is>
      </c>
      <c r="B6" s="8" t="n">
        <v>0.18</v>
      </c>
    </row>
    <row r="7">
      <c r="A7" t="inlineStr">
        <is>
          <t>IPI (blended, NCM real onde disponível):</t>
        </is>
      </c>
      <c r="B7" s="8" t="n">
        <v>0.0969</v>
      </c>
    </row>
    <row r="8">
      <c r="B8" s="9" t="inlineStr">
        <is>
          <t>BRL</t>
        </is>
      </c>
      <c r="C8" s="9" t="inlineStr">
        <is>
          <t>USD</t>
        </is>
      </c>
      <c r="L8">
        <f>900*1.37</f>
        <v/>
      </c>
    </row>
    <row r="9">
      <c r="A9" s="10" t="inlineStr">
        <is>
          <t>1) CUSTO (Raw Cost + TP + Frete + Imposto de Importação)</t>
        </is>
      </c>
    </row>
    <row r="10">
      <c r="A10" t="inlineStr">
        <is>
          <t>Raw Cost - Itens Importados (BOM USD x Qtd x Câmbio)</t>
        </is>
      </c>
      <c r="B10" s="3" t="n">
        <v>1346980.92</v>
      </c>
      <c r="C10" s="2">
        <f>B10/$B$3</f>
        <v/>
      </c>
    </row>
    <row r="11">
      <c r="A11" t="inlineStr">
        <is>
          <t>Raw Cost - Itens PAC (já nacionalizado, custo all-in local)</t>
        </is>
      </c>
      <c r="B11" s="3" t="n">
        <v>166060.16</v>
      </c>
      <c r="C11" s="2">
        <f>B11/$B$3</f>
        <v/>
      </c>
    </row>
    <row r="12">
      <c r="A12" t="inlineStr">
        <is>
          <t>TP - Transfer Price (13%/17,2% conforme o grupo; é a margem da WBT USA)</t>
        </is>
      </c>
      <c r="B12" s="3" t="n">
        <v>198163.69</v>
      </c>
      <c r="C12" s="2">
        <f>B12/$B$3</f>
        <v/>
      </c>
    </row>
    <row r="13">
      <c r="A13" t="inlineStr">
        <is>
          <t>Frete Internacional (real, cotação China Gate, 1,23%)</t>
        </is>
      </c>
      <c r="B13" s="3" t="n">
        <v>18998.55</v>
      </c>
      <c r="C13" s="2">
        <f>B13/$B$3</f>
        <v/>
      </c>
    </row>
    <row r="14">
      <c r="A14" t="inlineStr">
        <is>
          <t>II - Imposto de Importação (blended 17.96%, NCM real onde disponível)</t>
        </is>
      </c>
      <c r="B14" s="3" t="n">
        <v>280915.82</v>
      </c>
      <c r="C14" s="2">
        <f>B14/$B$3</f>
        <v/>
      </c>
    </row>
    <row r="15">
      <c r="A15" t="inlineStr">
        <is>
          <t>Frete Nacional (real, cotação China Gate, Santos-&gt;Betim/Contagem)</t>
        </is>
      </c>
      <c r="B15" s="3" t="n">
        <v>21753.1</v>
      </c>
      <c r="C15" s="2">
        <f>B15/$B$3</f>
        <v/>
      </c>
    </row>
    <row r="16">
      <c r="A16" t="inlineStr">
        <is>
          <t>Supermetal - GDT Integration/Assembly (modificação do vagão, custo direto)</t>
        </is>
      </c>
      <c r="B16" s="3" t="n">
        <v>707790.6</v>
      </c>
      <c r="C16" s="2">
        <f>B16/$B$3</f>
        <v/>
      </c>
    </row>
    <row r="17" ht="15.75" customHeight="1" s="22">
      <c r="A17" s="11" t="inlineStr">
        <is>
          <t>CUSTO FINAL (com TP):</t>
        </is>
      </c>
      <c r="B17" s="12">
        <f>SUM(B10:B16)</f>
        <v/>
      </c>
      <c r="C17" s="13">
        <f>B17/$B$3</f>
        <v/>
      </c>
    </row>
    <row r="19">
      <c r="A19" s="10" t="inlineStr">
        <is>
          <t>2) MARGEM (TDM aplicado sobre o custo SEM o TP; TP é devolvido depois sem markup)</t>
        </is>
      </c>
    </row>
    <row r="20">
      <c r="A20" t="inlineStr">
        <is>
          <t>Base p/ margem (Custo Final - TP)</t>
        </is>
      </c>
      <c r="B20" s="3">
        <f>B17-B12</f>
        <v/>
      </c>
      <c r="C20" s="2">
        <f>B20/$B$3</f>
        <v/>
      </c>
    </row>
    <row r="21">
      <c r="A21" t="inlineStr">
        <is>
          <t>Preço Líquido s/ TP (Base / (1 - TDM))</t>
        </is>
      </c>
      <c r="B21" s="3">
        <f>B20/(1-$B$4)</f>
        <v/>
      </c>
      <c r="C21" s="2">
        <f>B21/$B$3</f>
        <v/>
      </c>
    </row>
    <row r="22" ht="15.75" customHeight="1" s="22">
      <c r="A22" s="11" t="inlineStr">
        <is>
          <t>PREÇO LÍQUIDO ('NOSSO PREÇO' - custo + margem, sem impostos de saída):</t>
        </is>
      </c>
      <c r="B22" s="12">
        <f>B21+B12</f>
        <v/>
      </c>
      <c r="C22" s="13">
        <f>B22/$B$3</f>
        <v/>
      </c>
    </row>
    <row r="24">
      <c r="A24" s="10" t="inlineStr">
        <is>
          <t>3) IMPOSTOS DE SAÍDA (não afetam nossa margem - o cliente paga, cliente pode creditar parte)</t>
        </is>
      </c>
    </row>
    <row r="25">
      <c r="A25" t="inlineStr">
        <is>
          <t>+ PIS/COFINS (por dentro)</t>
        </is>
      </c>
      <c r="B25" s="3">
        <f>B22/(1-$B$5)</f>
        <v/>
      </c>
      <c r="C25" s="2">
        <f>B25/$B$3</f>
        <v/>
      </c>
    </row>
    <row r="26">
      <c r="A26" t="inlineStr">
        <is>
          <t>+ ICMS (por dentro, empilhado sobre PIS/COFINS)</t>
        </is>
      </c>
      <c r="B26" s="3">
        <f>B25/(1-$B$6)</f>
        <v/>
      </c>
      <c r="C26" s="2">
        <f>B26/$B$3</f>
        <v/>
      </c>
    </row>
    <row r="27">
      <c r="A27" t="inlineStr">
        <is>
          <t>+ IPI (por fora, % sobre o valor já com ICMS)</t>
        </is>
      </c>
      <c r="B27" s="3">
        <f>B26*$B$7</f>
        <v/>
      </c>
      <c r="C27" s="2">
        <f>B27/$B$3</f>
        <v/>
      </c>
    </row>
    <row r="28" ht="15.75" customHeight="1" s="22">
      <c r="A28" s="11" t="inlineStr">
        <is>
          <t>PREÇO FINAL AO CLIENTE (com todos os impostos):</t>
        </is>
      </c>
      <c r="B28" s="12">
        <f>B26+B27</f>
        <v/>
      </c>
      <c r="C28" s="13">
        <f>B28/$B$3</f>
        <v/>
      </c>
    </row>
    <row r="30">
      <c r="A30" s="9" t="inlineStr">
        <is>
          <t>Notas / Premissas:</t>
        </is>
      </c>
    </row>
    <row r="31">
      <c r="A31" s="23" t="inlineStr">
        <is>
          <t>- Metodologia: abas 'Material Pricing' + 'Approval Summary' do Material Pricing.xlsm (P&amp;L Old descartado - fórmulas quebradas/#REF!).</t>
        </is>
      </c>
    </row>
    <row r="32">
      <c r="A32" s="23" t="inlineStr">
        <is>
          <t>- TP tratado como a margem da WBT USA (GM WBT USA); entra no custo mas fica fora da base de margem da WBT Brasil (TDM = (TP + GM BRZ) / Preço Líquido).</t>
        </is>
      </c>
    </row>
    <row r="33">
      <c r="A33" s="23" t="inlineStr">
        <is>
          <t>- Frete Internacional e Frete Nacional: valores reais da cotação China Gate (Planilha de Custos de Importação - Pathfinder - Set 26.xlsx), não os 9%/3% antigos.</t>
        </is>
      </c>
    </row>
    <row r="34">
      <c r="A34" s="23" t="inlineStr">
        <is>
          <t>- II/IPI/PIS-COFINS: taxa real por NCM (aba 'II' da Material Pricing) para os 6 itens com NCM confirmado; taxa 'pior caso' (nossa antiga flat) para os demais 41 sem NCM.</t>
        </is>
      </c>
    </row>
    <row r="35">
      <c r="A35" s="23" t="inlineStr">
        <is>
          <t>- ICMS: 18% flat (mesmo valor usado no exemplo real da Material Pricing).</t>
        </is>
      </c>
    </row>
    <row r="36">
      <c r="A36" s="23" t="inlineStr">
        <is>
          <t>- 88 itens PAC somados como um bloco só (já é custo all-in local, sem decompor TP/frete/II).</t>
        </is>
      </c>
    </row>
    <row r="37">
      <c r="A37" s="23" t="inlineStr">
        <is>
      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no arquivo de trabalho principal para o detalhamento item a item.</t>
        </is>
      </c>
    </row>
    <row r="38">
      <c r="A38" s="23" t="inlineStr">
        <is>
          <t>- 27 itens ainda sem cotação de custo (Missing) NÃO estão incluídos neste total - ver aba Lista de Itens (Fonte do Custo = MISSING).</t>
        </is>
      </c>
    </row>
    <row r="39">
      <c r="A39" s="23" t="inlineStr">
        <is>
          <t>- QQP (tributos de serviço) e ISS (imposto do rollup GDT de integração/labor) foram desconsiderados por enquanto, a pedido.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B5" sqref="B5"/>
    </sheetView>
  </sheetViews>
  <sheetFormatPr baseColWidth="8" defaultRowHeight="15"/>
  <cols>
    <col width="92.140625" bestFit="1" customWidth="1" style="22" min="1" max="1"/>
    <col width="46" customWidth="1" style="22" min="2" max="2"/>
    <col width="18" customWidth="1" style="22" min="3" max="4"/>
    <col width="14" customWidth="1" style="22" min="5" max="5"/>
    <col width="50" customWidth="1" style="22" min="6" max="6"/>
  </cols>
  <sheetData>
    <row r="1" ht="17.25" customHeight="1" s="22">
      <c r="A1" s="21" t="inlineStr">
        <is>
          <t>DETALHAMENTO DO CÁLCULO DE PREÇO - origem e fórmula de cada número</t>
        </is>
      </c>
    </row>
    <row r="2">
      <c r="A2" s="23" t="inlineStr">
        <is>
          <t>Use esta aba pra responder 'por que esse número é X' - cada linha cita a fonte.</t>
        </is>
      </c>
    </row>
    <row r="4" ht="15.75" customHeight="1" s="22">
      <c r="A4" s="11" t="inlineStr">
        <is>
          <t>0) CHECAGEM DE REALIDADE vs. preço doméstico nos EUA</t>
        </is>
      </c>
    </row>
    <row r="5">
      <c r="A5" t="inlineStr">
        <is>
          <t>Preço de Referência Doméstico EUA (input - digite o valor real aqui):</t>
        </is>
      </c>
      <c r="B5" s="14" t="n">
        <v>900000</v>
      </c>
    </row>
    <row r="6" ht="15.75" customHeight="1" s="22">
      <c r="A6" t="inlineStr">
        <is>
          <t>Nosso Preço (Líquido - custo + margem, antes dos impostos brasileiros de saída):</t>
        </is>
      </c>
      <c r="B6" s="15" t="n">
        <v>945272.4347593583</v>
      </c>
      <c r="C6" s="23" t="inlineStr">
        <is>
          <t>&lt;- esse é o número que é de fato comparável a uma venda doméstica nos EUA (sem imposto de importação/consumo do Brasil).</t>
        </is>
      </c>
    </row>
    <row r="7" ht="15.75" customHeight="1" s="22">
      <c r="A7" t="inlineStr">
        <is>
          <t>Preço Final ao Cliente (com todos os impostos brasileiros):</t>
        </is>
      </c>
      <c r="B7" s="15" t="n">
        <v>1405909.269713061</v>
      </c>
    </row>
    <row r="8">
      <c r="A8" t="inlineStr">
        <is>
          <t>Diferença vs. referência EUA (Preço Líquido):</t>
        </is>
      </c>
      <c r="B8" s="2">
        <f>B6-B5</f>
        <v/>
      </c>
      <c r="C8" s="16">
        <f>B8/B5</f>
        <v/>
      </c>
    </row>
    <row r="9">
      <c r="A9" t="inlineStr">
        <is>
          <t>Diferença vs. referência EUA (Preço Final ao Cliente):</t>
        </is>
      </c>
      <c r="B9" s="2">
        <f>B7-B5</f>
        <v/>
      </c>
      <c r="C9" s="16">
        <f>B9/B5</f>
        <v/>
      </c>
    </row>
    <row r="10">
      <c r="A10" s="23" t="inlineStr">
        <is>
          <t>PONTO-CHAVE: nosso Preço Líquido está próximo do preço de referência dos EUA - o salto grande até o Preço Final ao Cliente vem</t>
        </is>
      </c>
    </row>
    <row r="11">
      <c r="A11" s="23" t="inlineStr">
        <is>
          <t>inteiro do Imposto de Importação (II) e dos impostos de consumo brasileiros (IPI/PIS/COFINS/ICMS), que não existem numa venda</t>
        </is>
      </c>
    </row>
    <row r="12">
      <c r="A12" s="23" t="inlineStr">
        <is>
          <t>doméstica nos EUA e incidiriam do mesmo jeito seja importando componentes ou um vagão pronto (um veículo pronto pode inclusive</t>
        </is>
      </c>
    </row>
    <row r="13">
      <c r="A13" s="23" t="inlineStr">
        <is>
          <t>cair numa faixa de II diferente/maior - vale confirmar com um especialista em importação automotiva/ferroviária antes de assumir que 'comprar pronto' evita essa cascata de imposto).</t>
        </is>
      </c>
    </row>
    <row r="15">
      <c r="A15" s="10" t="inlineStr">
        <is>
          <t>1) CASCATA COMPLETA (bate com a aba 'Resumo Executivo (P&amp;L)', só que com a fonte de cada linha)</t>
        </is>
      </c>
    </row>
    <row r="16" ht="45" customHeight="1" s="22">
      <c r="A16" s="1" t="inlineStr">
        <is>
          <t>Etapa</t>
        </is>
      </c>
      <c r="B16" s="1" t="inlineStr">
        <is>
          <t>Fórmula / Lógica</t>
        </is>
      </c>
      <c r="C16" s="1" t="inlineStr">
        <is>
          <t>BRL</t>
        </is>
      </c>
      <c r="D16" s="1" t="inlineStr">
        <is>
          <t>USD</t>
        </is>
      </c>
      <c r="E16" s="1" t="inlineStr">
        <is>
          <t>Multiplicador vs. Custo Final (só nos totais)</t>
        </is>
      </c>
      <c r="F16" s="1" t="inlineStr">
        <is>
          <t>Fonte / Justificativa</t>
        </is>
      </c>
    </row>
    <row r="17" ht="45" customHeight="1" s="22">
      <c r="A17" t="inlineStr">
        <is>
          <t>Raw Cost - Itens Importados</t>
        </is>
      </c>
      <c r="B17" s="24" t="inlineStr">
        <is>
          <t>BOM USD unitário x Qtd x Câmbio, somado nos 47 itens importados precificados</t>
        </is>
      </c>
      <c r="C17" s="3" t="n">
        <v>1346980.92</v>
      </c>
      <c r="D17" s="2" t="n">
        <v>264113.905882353</v>
      </c>
      <c r="E17" t="inlineStr">
        <is>
          <t>-</t>
        </is>
      </c>
      <c r="F17" s="24" t="inlineStr">
        <is>
          <t>Aba Final Cost List, coluna F (BOM Price USD Unit) x coluna E (Quantity), câmbio da aba 'RATES' do Material Pricing.xlsm</t>
        </is>
      </c>
    </row>
    <row r="18" ht="45" customHeight="1" s="22">
      <c r="A18" t="inlineStr">
        <is>
          <t>Raw Cost - Itens PAC</t>
        </is>
      </c>
      <c r="B18" s="24" t="inlineStr">
        <is>
          <t>Soma do custo unitário PAC (BRL) x Qtd nos 88 itens PAC</t>
        </is>
      </c>
      <c r="C18" s="3" t="n">
        <v>166060.16</v>
      </c>
      <c r="D18" s="2" t="n">
        <v>32560.81568627451</v>
      </c>
      <c r="E18" t="inlineStr">
        <is>
          <t>-</t>
        </is>
      </c>
      <c r="F18" s="24" t="inlineStr">
        <is>
          <t>Campo 'aco_cost' do 7-PAC Item Costs.xlsx por item, já é custo de fabricação local completo (material+mão de obra+overhead)</t>
        </is>
      </c>
    </row>
    <row r="19" ht="45" customHeight="1" s="22">
      <c r="A19" t="inlineStr">
        <is>
          <t>TP - Transfer Price</t>
        </is>
      </c>
      <c r="B19" s="24" t="inlineStr">
        <is>
          <t>13% nos itens que já tinham algum TP historicamente; 17,2% nos que não tinham nenhum</t>
        </is>
      </c>
      <c r="C19" s="3" t="n">
        <v>198163.69</v>
      </c>
      <c r="D19" s="2" t="n">
        <v>38855.62549019608</v>
      </c>
      <c r="E19" t="inlineStr">
        <is>
          <t>-</t>
        </is>
      </c>
      <c r="F19" s="24" t="inlineStr">
        <is>
          <t>Diretriz do Matheus nesta sessão; a divisão 17,2%/0% original veio da cópia colorida de revisão (amarelo/verde)</t>
        </is>
      </c>
    </row>
    <row r="20" ht="45" customHeight="1" s="22">
      <c r="A20" t="inlineStr">
        <is>
          <t>Frete Internacional</t>
        </is>
      </c>
      <c r="B20" s="24" t="inlineStr">
        <is>
          <t>1,2295642% sobre (Raw Cost + TP)</t>
        </is>
      </c>
      <c r="C20" s="3" t="n">
        <v>18998.55</v>
      </c>
      <c r="D20" s="2" t="n">
        <v>3725.205882352941</v>
      </c>
      <c r="E20" t="inlineStr">
        <is>
          <t>-</t>
        </is>
      </c>
      <c r="F20" s="24" t="inlineStr">
        <is>
          <t>'Planilha de Custos de Importação - Pathfinder - Set 26.xlsx' (cotação do despachante China Gate), Frete+Seguro / Valor do Produto</t>
        </is>
      </c>
    </row>
    <row r="21" ht="45" customHeight="1" s="22">
      <c r="A21" t="inlineStr">
        <is>
          <t>II - Imposto de Importação</t>
        </is>
      </c>
      <c r="B21" s="24" t="inlineStr">
        <is>
          <t>Blended 17.96% sobre (Raw Cost+TP+Frete): taxa real por NCM pros 6 itens com NCM confirmado, pior caso 18% flat pros outros 41</t>
        </is>
      </c>
      <c r="C21" s="3" t="n">
        <v>280915.82</v>
      </c>
      <c r="D21" s="2" t="n">
        <v>55081.53333333334</v>
      </c>
      <c r="E21" t="inlineStr">
        <is>
          <t>-</t>
        </is>
      </c>
      <c r="F21" s="24" t="inlineStr">
        <is>
          <t>Aba 'II' do Material Pricing.xlsm (consulta real por NCM) + nossa taxa flat antiga como fallback</t>
        </is>
      </c>
    </row>
    <row r="22" ht="45" customHeight="1" s="22">
      <c r="A22" t="inlineStr">
        <is>
          <t>Frete Nacional</t>
        </is>
      </c>
      <c r="B22" s="24" t="inlineStr">
        <is>
          <t>Cotação real fixa pra remessa inteira (Santos -&gt; Betim/Contagem, MG)</t>
        </is>
      </c>
      <c r="C22" s="3" t="n">
        <v>21753.1</v>
      </c>
      <c r="D22" s="2" t="n">
        <v>4265.313725490196</v>
      </c>
      <c r="E22" t="inlineStr">
        <is>
          <t>-</t>
        </is>
      </c>
      <c r="F22" s="24" t="inlineStr">
        <is>
          <t>Cotação China Gate, aba 'Despesas de Importação': Siscomex, despachante, armazenagem, transporte rodoviário, Marinha Mercante, etc.</t>
        </is>
      </c>
    </row>
    <row r="23" ht="45" customHeight="1" s="22">
      <c r="A23" t="inlineStr">
        <is>
          <t>Supermetal - Integração/Montagem GDT</t>
        </is>
      </c>
      <c r="B23" s="24" t="inlineStr">
        <is>
          <t>Custo direto: reforma do vagão (teto, porta, escada, chicotes, skid de baterias, tubulação Fastbrake, ar condicionado, lastro)</t>
        </is>
      </c>
      <c r="C23" s="3" t="n">
        <v>707790.6</v>
      </c>
      <c r="D23" s="2" t="n">
        <v>138782.4705882353</v>
      </c>
      <c r="E23" t="inlineStr">
        <is>
          <t>-</t>
        </is>
      </c>
      <c r="F23" s="24" t="inlineStr">
        <is>
          <t>Aba 'GDT Integration and Assembly', soma da coluna Direct Cost BRL (18 itens)</t>
        </is>
      </c>
    </row>
    <row r="24" ht="15.75" customHeight="1" s="22">
      <c r="A24" s="11" t="inlineStr">
        <is>
          <t>CUSTO FINAL (com TP):</t>
        </is>
      </c>
      <c r="C24" s="12" t="n">
        <v>2740662.84</v>
      </c>
      <c r="D24" s="13" t="n">
        <v>537384.8705882353</v>
      </c>
      <c r="E24" s="11" t="inlineStr">
        <is>
          <t>1.000x (baseline)</t>
        </is>
      </c>
    </row>
    <row r="26">
      <c r="A26" s="10" t="inlineStr">
        <is>
          <t>2) MARGEM</t>
        </is>
      </c>
    </row>
    <row r="27" ht="60" customHeight="1" s="22">
      <c r="A27" t="inlineStr">
        <is>
          <t>Base p/ margem</t>
        </is>
      </c>
      <c r="B27" s="24" t="inlineStr">
        <is>
          <t>Custo Final - TP (o TP fica fora da nossa base de margem - é margem da WBT USA, não nossa)</t>
        </is>
      </c>
      <c r="F27" s="24" t="inlineStr">
        <is>
          <t>Aba Approval Summary do Material Pricing.xlsm: TDM = (TP + GM_BRZ) / Preço Líquido. Algebricamente isso equivale a calcular a margem sobre (custo - TP) e devolver o TP depois, que é o que essa linha faz.</t>
        </is>
      </c>
    </row>
    <row r="28" ht="30" customHeight="1" s="22">
      <c r="A28" t="inlineStr">
        <is>
          <t>Margem alvo (TDM)</t>
        </is>
      </c>
      <c r="B28" s="24" t="inlineStr">
        <is>
          <t>Editável - ver célula B4 da aba Resumo Executivo (P&amp;L)</t>
        </is>
      </c>
      <c r="F28" s="24" t="inlineStr">
        <is>
          <t>Alvo do Matheus pra esse exercício: 45%</t>
        </is>
      </c>
    </row>
    <row r="29" ht="15.75" customHeight="1" s="22">
      <c r="A29" s="11" t="inlineStr">
        <is>
          <t>PREÇO LÍQUIDO ('NOSSO PREÇO'):</t>
        </is>
      </c>
      <c r="C29" s="12" t="n">
        <v>4820889.417272727</v>
      </c>
      <c r="D29" s="13" t="n">
        <v>945272.4347593583</v>
      </c>
      <c r="E29" t="inlineStr">
        <is>
          <t>1.759x</t>
        </is>
      </c>
    </row>
    <row r="31">
      <c r="A31" s="10" t="inlineStr">
        <is>
          <t>3) IMPOSTOS DE SAÍDA (o cliente paga; não afetam nossa margem)</t>
        </is>
      </c>
    </row>
    <row r="32" ht="30" customHeight="1" s="22">
      <c r="A32" t="inlineStr">
        <is>
          <t>PIS/COFINS</t>
        </is>
      </c>
      <c r="B32" s="24" t="inlineStr">
        <is>
          <t>Preço Líquido / (1 - 10.06%) - por dentro, taxa blended real por NCM</t>
        </is>
      </c>
      <c r="F32" s="24" t="inlineStr">
        <is>
          <t>Aba 'II' do Material Pricing.xlsm (PIS+COFINS real por NCM) pros itens conhecidos, pior caso 9,25% pro resto</t>
        </is>
      </c>
    </row>
    <row r="33" ht="75" customHeight="1" s="22">
      <c r="A33" t="inlineStr">
        <is>
          <t>ICMS</t>
        </is>
      </c>
      <c r="B33" s="24" t="inlineStr">
        <is>
          <t>Subtotal anterior / (1 - 18%) - por dentro, empilhado sobre PIS/COFINS</t>
        </is>
      </c>
      <c r="F33" s="24" t="inlineStr">
        <is>
          <t>18% flat, bate com o exemplo real da Material Pricing. AINDA NÃO validado contra a alíquota de ICMS específica do estado de destino do cliente (as abas Tabela ICMS / Aliquotas Basicas têm a matriz real origem-destino se precisar).</t>
        </is>
      </c>
    </row>
    <row r="34" ht="30" customHeight="1" s="22">
      <c r="A34" t="inlineStr">
        <is>
          <t>IPI</t>
        </is>
      </c>
      <c r="B34" s="24" t="inlineStr">
        <is>
          <t>Subtotal anterior x IPI% blended - somado por fora, não é por dentro</t>
        </is>
      </c>
      <c r="F34" s="24" t="inlineStr">
        <is>
          <t>Aba 'II' do Material Pricing.xlsm (IPI real por NCM) pros itens conhecidos, pior caso 9,75% pro resto</t>
        </is>
      </c>
    </row>
    <row r="35" ht="15.75" customHeight="1" s="22">
      <c r="A35" s="11" t="inlineStr">
        <is>
          <t>PREÇO FINAL AO CLIENTE:</t>
        </is>
      </c>
      <c r="C35" s="12" t="n">
        <v>7170137.27553661</v>
      </c>
      <c r="D35" s="13" t="n">
        <v>1405909.269713061</v>
      </c>
      <c r="E35" t="inlineStr">
        <is>
          <t>2.616x</t>
        </is>
      </c>
    </row>
    <row r="37">
      <c r="A37" s="10" t="inlineStr">
        <is>
          <t>4) REGISTRO DE PREMISSAS (questione um input específico aqui, não o número todo)</t>
        </is>
      </c>
    </row>
    <row r="38" ht="30" customHeight="1" s="22">
      <c r="A38" s="1" t="inlineStr">
        <is>
          <t>Premissa</t>
        </is>
      </c>
      <c r="B38" s="1" t="inlineStr">
        <is>
          <t>Valor Usado</t>
        </is>
      </c>
      <c r="C38" s="1" t="inlineStr">
        <is>
          <t>Confiança</t>
        </is>
      </c>
      <c r="D38" s="1" t="inlineStr">
        <is>
          <t>Onde pode estar errado</t>
        </is>
      </c>
    </row>
    <row r="39">
      <c r="A39" t="inlineStr">
        <is>
          <t>Câmbio</t>
        </is>
      </c>
      <c r="B39" t="inlineStr">
        <is>
          <t>5,10 BRL/USD</t>
        </is>
      </c>
      <c r="C39" t="inlineStr">
        <is>
          <t>Média</t>
        </is>
      </c>
      <c r="D39" s="24" t="inlineStr">
        <is>
          <t>Foto fixa do Material Pricing.xlsm; vai variar com o câmbio real na data da fatura</t>
        </is>
      </c>
    </row>
    <row r="40">
      <c r="A40" t="inlineStr">
        <is>
          <t>Divisão da taxa de TP</t>
        </is>
      </c>
      <c r="B40" t="inlineStr">
        <is>
          <t>13% / 17,2%</t>
        </is>
      </c>
      <c r="C40" t="inlineStr">
        <is>
          <t>Baixa-Média</t>
        </is>
      </c>
      <c r="D40" s="24" t="inlineStr">
        <is>
          <t>Divisão arbitrária escolhida nesta sessão, não vem de um documento oficial de política de transfer pricing da Wabtec</t>
        </is>
      </c>
    </row>
    <row r="41">
      <c r="A41" t="inlineStr">
        <is>
          <t>Frete Internacional</t>
        </is>
      </c>
      <c r="B41" t="inlineStr">
        <is>
          <t>1,23% do valor</t>
        </is>
      </c>
      <c r="C41" t="inlineStr">
        <is>
          <t>Alta</t>
        </is>
      </c>
      <c r="D41" s="24" t="inlineStr">
        <is>
          <t>Cotação real do despachante, mas é só uma simulação pelo próprio aviso da cotação - confirmar com booking real</t>
        </is>
      </c>
    </row>
    <row r="42">
      <c r="A42" t="inlineStr">
        <is>
          <t>Frete Nacional</t>
        </is>
      </c>
      <c r="B42" t="inlineStr">
        <is>
          <t>R$21.753,10 fixo</t>
        </is>
      </c>
      <c r="C42" t="inlineStr">
        <is>
          <t>Alta</t>
        </is>
      </c>
      <c r="D42" s="24" t="inlineStr">
        <is>
          <t>Cotação real específica pra Santos-&gt;Betim/Contagem; muda se origem/destino mudar</t>
        </is>
      </c>
    </row>
    <row r="43">
      <c r="A43" t="inlineStr">
        <is>
          <t>II (Imposto de Importação)</t>
        </is>
      </c>
      <c r="B43" t="inlineStr">
        <is>
          <t>17,96% blended (6 de 47 itens importados com NCM real)</t>
        </is>
      </c>
      <c r="C43" t="inlineStr">
        <is>
          <t>Média</t>
        </is>
      </c>
      <c r="D43" s="24" t="inlineStr">
        <is>
          <t>41 dos 47 itens importados ainda usam o pior caso 18% padrão - sem NCM confirmado pra eles ainda</t>
        </is>
      </c>
    </row>
    <row r="44">
      <c r="A44" t="inlineStr">
        <is>
          <t>PIS/COFINS</t>
        </is>
      </c>
      <c r="B44" t="inlineStr">
        <is>
          <t>10,06% blended</t>
        </is>
      </c>
      <c r="C44" t="inlineStr">
        <is>
          <t>Média</t>
        </is>
      </c>
      <c r="D44" s="24" t="inlineStr">
        <is>
          <t>Mesma lacuna de cobertura de NCM que o II</t>
        </is>
      </c>
    </row>
    <row r="45">
      <c r="A45" t="inlineStr">
        <is>
          <t>IPI</t>
        </is>
      </c>
      <c r="B45" t="inlineStr">
        <is>
          <t>9,69% blended</t>
        </is>
      </c>
      <c r="C45" t="inlineStr">
        <is>
          <t>Média</t>
        </is>
      </c>
      <c r="D45" s="24" t="inlineStr">
        <is>
          <t>Mesma lacuna de cobertura de NCM que o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Baixa-Média</t>
        </is>
      </c>
      <c r="D46" s="24" t="inlineStr">
        <is>
          <t>Não consultado por par origem-destino UF; taxa real pode ser menor (interestadual) ou ter redução RBC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decisão de negócio</t>
        </is>
      </c>
      <c r="D47" s="24" t="inlineStr">
        <is>
          <t>Essa é a maior alavanca isolada do preço final - ver tabela de sensibilidade abaixo</t>
        </is>
      </c>
    </row>
    <row r="48">
      <c r="A48" t="inlineStr">
        <is>
          <t>Itens PAC</t>
        </is>
      </c>
      <c r="B48" t="inlineStr">
        <is>
          <t>Tratados como um bloco único all-in, sem decompor TP/frete/duty</t>
        </is>
      </c>
      <c r="C48" t="inlineStr">
        <is>
          <t>Alta</t>
        </is>
      </c>
      <c r="D48" s="24" t="inlineStr">
        <is>
          <t>Custo PAC é genuinamente um custo de fabricação local brasileiro, não uma transação de importação</t>
        </is>
      </c>
    </row>
    <row r="49">
      <c r="A49" t="inlineStr">
        <is>
          <t>Itens faltantes</t>
        </is>
      </c>
      <c r="B49" t="inlineStr">
        <is>
          <t>27 itens excluídos (ainda sem custo)</t>
        </is>
      </c>
      <c r="C49" t="inlineStr">
        <is>
          <t>N/A</t>
        </is>
      </c>
      <c r="D49" s="24" t="inlineStr">
        <is>
          <t>Preço final vai aumentar quando esses tiverem cotação - ver aba 'Missing Items'</t>
        </is>
      </c>
    </row>
    <row r="50">
      <c r="A50" t="inlineStr">
        <is>
          <t>Supermetal / rollup GDT</t>
        </is>
      </c>
      <c r="B50" t="inlineStr">
        <is>
          <t>Tratado como custo local, sem imposto de importação (correto, é mão de obra+material brasileiro)</t>
        </is>
      </c>
      <c r="C50" t="inlineStr">
        <is>
          <t>Média</t>
        </is>
      </c>
      <c r="D50" s="24" t="inlineStr">
        <is>
          <t>Ainda não inclui ISS (imposto sobre serviço) na parte de mão de obra - desconsiderado por enquanto a pedido do Matheus</t>
        </is>
      </c>
    </row>
    <row r="52">
      <c r="A52" s="10" t="inlineStr">
        <is>
          <t>5) SENSIBILIDADE DA MARGEM (mesma base de custo, TDM diferentes)</t>
        </is>
      </c>
    </row>
    <row r="53">
      <c r="A53" s="18" t="inlineStr">
        <is>
          <t>TDM</t>
        </is>
      </c>
      <c r="B53" s="18" t="inlineStr">
        <is>
          <t>Preço Líquido (Nosso Preço) USD</t>
        </is>
      </c>
      <c r="C53" s="18" t="inlineStr">
        <is>
          <t>Preço Final ao Cliente USD</t>
        </is>
      </c>
    </row>
    <row r="54">
      <c r="A54" s="16" t="n">
        <v>0.3</v>
      </c>
      <c r="B54" s="2" t="n">
        <v>751040.2613445378</v>
      </c>
      <c r="C54" s="2" t="n">
        <v>1117026.612143629</v>
      </c>
    </row>
    <row r="56">
      <c r="A56" s="16" t="n">
        <v>0.35</v>
      </c>
      <c r="B56" s="2" t="n">
        <v>805823.6948717949</v>
      </c>
      <c r="C56" s="2" t="n">
        <v>1198506.336073469</v>
      </c>
    </row>
    <row r="58">
      <c r="A58" s="16" t="n">
        <v>0.4</v>
      </c>
      <c r="B58" s="2" t="n">
        <v>869737.7006535948</v>
      </c>
      <c r="C58" s="2" t="n">
        <v>1293566.013991615</v>
      </c>
    </row>
    <row r="60">
      <c r="A60" s="19" t="n">
        <v>0.45</v>
      </c>
      <c r="B60" s="20" t="n">
        <v>945272.4347593583</v>
      </c>
      <c r="C60" s="20" t="n">
        <v>1405909.269713061</v>
      </c>
    </row>
    <row r="62">
      <c r="A62" s="16" t="n">
        <v>0.5</v>
      </c>
      <c r="B62" s="2" t="n">
        <v>1035914.115686275</v>
      </c>
      <c r="C62" s="2" t="n">
        <v>1540721.176578796</v>
      </c>
    </row>
    <row r="64">
      <c r="A64" s="16" t="n">
        <v>0.55</v>
      </c>
      <c r="B64" s="2" t="n">
        <v>1146698.392374728</v>
      </c>
      <c r="C64" s="2" t="n">
        <v>1705491.28497025</v>
      </c>
    </row>
    <row r="66">
      <c r="A66" s="9" t="inlineStr">
        <is>
          <t>Notas:</t>
        </is>
      </c>
    </row>
    <row r="67">
      <c r="A67" s="23" t="inlineStr">
        <is>
          <t>- Esta aba é complementar à 'Resumo Executivo (P&amp;L)' - mesmos números, mas cada linha se explica.</t>
        </is>
      </c>
    </row>
    <row r="68">
      <c r="A68" s="23" t="inlineStr">
        <is>
          <t>- QQP (impostos de serviço) e ISS na parte de mão de obra da Supermetal foram desconsiderados por enquanto, a pedido - o preço final pode aumentar quando isso for incluído.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D46:F46"/>
    <mergeCell ref="A1:F1"/>
    <mergeCell ref="D40:F40"/>
    <mergeCell ref="D45:F45"/>
    <mergeCell ref="D49:F49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62" customWidth="1" style="22" min="1" max="1"/>
    <col width="19" customWidth="1" style="22" min="2" max="2"/>
    <col width="19" customWidth="1" style="22" min="3" max="3"/>
    <col width="19" customWidth="1" style="22" min="4" max="4"/>
    <col width="19" customWidth="1" style="22" min="5" max="5"/>
    <col width="19" customWidth="1" style="22" min="6" max="6"/>
    <col width="19" customWidth="1" style="22" min="7" max="7"/>
    <col width="19" customWidth="1" style="22" min="8" max="8"/>
    <col width="19" customWidth="1" style="22" min="9" max="9"/>
    <col width="19" customWidth="1" style="22" min="10" max="10"/>
    <col width="19" customWidth="1" style="22" min="11" max="11"/>
  </cols>
  <sheetData>
    <row r="1">
      <c r="A1" s="25" t="inlineStr">
        <is>
          <t>SIMULAÇÃO - o que realmente encarece o Pathfinder Iron Ore Car</t>
        </is>
      </c>
    </row>
    <row r="2">
      <c r="A2" s="26" t="inlineStr">
        <is>
          <t>Mude as duas chaves amarelas; a tabela de comparação à direita nunca depende delas.</t>
        </is>
      </c>
    </row>
    <row r="4">
      <c r="A4" s="27" t="inlineStr">
        <is>
          <t>CHAVES</t>
        </is>
      </c>
    </row>
    <row r="5">
      <c r="A5" t="inlineStr">
        <is>
          <t>Retirar o imposto de importação (II) de tudo?  (1 = sim, 0 = não)</t>
        </is>
      </c>
      <c r="B5" s="28" t="n">
        <v>0</v>
      </c>
    </row>
    <row r="6">
      <c r="A6" t="inlineStr">
        <is>
          <t>Conjuntos de bateria  (2 = BOM atual, 1 = um único conjunto)</t>
        </is>
      </c>
      <c r="B6" s="28" t="n">
        <v>2</v>
      </c>
    </row>
    <row r="8">
      <c r="A8" s="27" t="inlineStr">
        <is>
          <t>VALORES-BASE (lidos da aba P&amp;L)</t>
        </is>
      </c>
    </row>
    <row r="9">
      <c r="A9" t="inlineStr">
        <is>
          <t>Câmbio</t>
        </is>
      </c>
      <c r="B9" s="29">
        <f>'Resumo Executivo (P&amp;L)'!B3</f>
        <v/>
      </c>
    </row>
    <row r="10">
      <c r="A10" t="inlineStr">
        <is>
          <t>Total Deal Margin (TDM)</t>
        </is>
      </c>
      <c r="B10" s="16">
        <f>'Resumo Executivo (P&amp;L)'!B4</f>
        <v/>
      </c>
    </row>
    <row r="11">
      <c r="A11" t="inlineStr">
        <is>
          <t>PIS/COFINS</t>
        </is>
      </c>
      <c r="B11" s="16">
        <f>'Resumo Executivo (P&amp;L)'!B5</f>
        <v/>
      </c>
    </row>
    <row r="12">
      <c r="A12" t="inlineStr">
        <is>
          <t>ICMS</t>
        </is>
      </c>
      <c r="B12" s="16">
        <f>'Resumo Executivo (P&amp;L)'!B6</f>
        <v/>
      </c>
    </row>
    <row r="13">
      <c r="A13" t="inlineStr">
        <is>
          <t>IPI</t>
        </is>
      </c>
      <c r="B13" s="16">
        <f>'Resumo Executivo (P&amp;L)'!B7</f>
        <v/>
      </c>
    </row>
    <row r="14">
      <c r="A14" t="inlineStr">
        <is>
          <t>Preço de referência doméstico EUA (USD, input)</t>
        </is>
      </c>
      <c r="B14" s="30" t="n">
        <v>900000</v>
      </c>
    </row>
    <row r="17">
      <c r="A17" s="31" t="inlineStr">
        <is>
          <t>CENÁRIOS</t>
        </is>
      </c>
    </row>
    <row r="18" ht="48" customHeight="1" s="22">
      <c r="B18" s="32" t="inlineStr">
        <is>
          <t>Selecionado (chaves) - BRL</t>
        </is>
      </c>
      <c r="C18" s="32" t="inlineStr">
        <is>
          <t>Selecionado (chaves) - USD</t>
        </is>
      </c>
      <c r="D18" s="32" t="inlineStr">
        <is>
          <t>Base (atual) - BRL</t>
        </is>
      </c>
      <c r="E18" s="32" t="inlineStr">
        <is>
          <t>Base (atual) - USD</t>
        </is>
      </c>
      <c r="F18" s="32" t="inlineStr">
        <is>
          <t>Sem imposto de importação (II) - BRL</t>
        </is>
      </c>
      <c r="G18" s="32" t="inlineStr">
        <is>
          <t>Sem imposto de importação (II) - USD</t>
        </is>
      </c>
      <c r="H18" s="32" t="inlineStr">
        <is>
          <t>1 conjunto de bateria - BRL</t>
        </is>
      </c>
      <c r="I18" s="32" t="inlineStr">
        <is>
          <t>1 conjunto de bateria - USD</t>
        </is>
      </c>
      <c r="J18" s="32" t="inlineStr">
        <is>
          <t>Sem II + 1 conjunto de bateria - BRL</t>
        </is>
      </c>
      <c r="K18" s="32" t="inlineStr">
        <is>
          <t>Sem II + 1 conjunto de bateria - USD</t>
        </is>
      </c>
    </row>
    <row r="19">
      <c r="A19" t="inlineStr">
        <is>
          <t>Raw cost - itens importados</t>
        </is>
      </c>
      <c r="B19" s="33">
        <f>$B$48+$C$48*($B$6)</f>
        <v/>
      </c>
      <c r="C19" s="34">
        <f>B19/$B$9</f>
        <v/>
      </c>
      <c r="D19" s="3">
        <f>$B$48+$C$48*(2)</f>
        <v/>
      </c>
      <c r="E19" s="2">
        <f>D19/$B$9</f>
        <v/>
      </c>
      <c r="F19" s="3">
        <f>$B$48+$C$48*(2)</f>
        <v/>
      </c>
      <c r="G19" s="2">
        <f>F19/$B$9</f>
        <v/>
      </c>
      <c r="H19" s="3">
        <f>$B$48+$C$48*(1)</f>
        <v/>
      </c>
      <c r="I19" s="2">
        <f>H19/$B$9</f>
        <v/>
      </c>
      <c r="J19" s="3">
        <f>$B$48+$C$48*(1)</f>
        <v/>
      </c>
      <c r="K19" s="2">
        <f>J19/$B$9</f>
        <v/>
      </c>
    </row>
    <row r="20">
      <c r="A20" t="inlineStr">
        <is>
          <t>Raw cost - itens PAC</t>
        </is>
      </c>
      <c r="B20" s="33">
        <f>$B$49</f>
        <v/>
      </c>
      <c r="C20" s="34">
        <f>B20/$B$9</f>
        <v/>
      </c>
      <c r="D20" s="3">
        <f>$B$49</f>
        <v/>
      </c>
      <c r="E20" s="2">
        <f>D20/$B$9</f>
        <v/>
      </c>
      <c r="F20" s="3">
        <f>$B$49</f>
        <v/>
      </c>
      <c r="G20" s="2">
        <f>F20/$B$9</f>
        <v/>
      </c>
      <c r="H20" s="3">
        <f>$B$49</f>
        <v/>
      </c>
      <c r="I20" s="2">
        <f>H20/$B$9</f>
        <v/>
      </c>
      <c r="J20" s="3">
        <f>$B$49</f>
        <v/>
      </c>
      <c r="K20" s="2">
        <f>J20/$B$9</f>
        <v/>
      </c>
    </row>
    <row r="21">
      <c r="A21" t="inlineStr">
        <is>
          <t>TP - Transfer Price</t>
        </is>
      </c>
      <c r="B21" s="33">
        <f>$B$50+$C$50*($B$6)</f>
        <v/>
      </c>
      <c r="C21" s="34">
        <f>B21/$B$9</f>
        <v/>
      </c>
      <c r="D21" s="3">
        <f>$B$50+$C$50*(2)</f>
        <v/>
      </c>
      <c r="E21" s="2">
        <f>D21/$B$9</f>
        <v/>
      </c>
      <c r="F21" s="3">
        <f>$B$50+$C$50*(2)</f>
        <v/>
      </c>
      <c r="G21" s="2">
        <f>F21/$B$9</f>
        <v/>
      </c>
      <c r="H21" s="3">
        <f>$B$50+$C$50*(1)</f>
        <v/>
      </c>
      <c r="I21" s="2">
        <f>H21/$B$9</f>
        <v/>
      </c>
      <c r="J21" s="3">
        <f>$B$50+$C$50*(1)</f>
        <v/>
      </c>
      <c r="K21" s="2">
        <f>J21/$B$9</f>
        <v/>
      </c>
    </row>
    <row r="22">
      <c r="A22" t="inlineStr">
        <is>
          <t>Frete internacional</t>
        </is>
      </c>
      <c r="B22" s="33">
        <f>$B$51+$C$51*($B$6)</f>
        <v/>
      </c>
      <c r="C22" s="34">
        <f>B22/$B$9</f>
        <v/>
      </c>
      <c r="D22" s="3">
        <f>$B$51+$C$51*(2)</f>
        <v/>
      </c>
      <c r="E22" s="2">
        <f>D22/$B$9</f>
        <v/>
      </c>
      <c r="F22" s="3">
        <f>$B$51+$C$51*(2)</f>
        <v/>
      </c>
      <c r="G22" s="2">
        <f>F22/$B$9</f>
        <v/>
      </c>
      <c r="H22" s="3">
        <f>$B$51+$C$51*(1)</f>
        <v/>
      </c>
      <c r="I22" s="2">
        <f>H22/$B$9</f>
        <v/>
      </c>
      <c r="J22" s="3">
        <f>$B$51+$C$51*(1)</f>
        <v/>
      </c>
      <c r="K22" s="2">
        <f>J22/$B$9</f>
        <v/>
      </c>
    </row>
    <row r="23">
      <c r="A23" t="inlineStr">
        <is>
          <t>II - Imposto de importação</t>
        </is>
      </c>
      <c r="B23" s="33">
        <f>($B$52+$C$52*($B$6))*(1-($B$5))</f>
        <v/>
      </c>
      <c r="C23" s="34">
        <f>B23/$B$9</f>
        <v/>
      </c>
      <c r="D23" s="3">
        <f>($B$52+$C$52*(2))*(1-(0))</f>
        <v/>
      </c>
      <c r="E23" s="2">
        <f>D23/$B$9</f>
        <v/>
      </c>
      <c r="F23" s="3">
        <f>($B$52+$C$52*(2))*(1-(1))</f>
        <v/>
      </c>
      <c r="G23" s="2">
        <f>F23/$B$9</f>
        <v/>
      </c>
      <c r="H23" s="3">
        <f>($B$52+$C$52*(1))*(1-(0))</f>
        <v/>
      </c>
      <c r="I23" s="2">
        <f>H23/$B$9</f>
        <v/>
      </c>
      <c r="J23" s="3">
        <f>($B$52+$C$52*(1))*(1-(1))</f>
        <v/>
      </c>
      <c r="K23" s="2">
        <f>J23/$B$9</f>
        <v/>
      </c>
    </row>
    <row r="24">
      <c r="A24" t="inlineStr">
        <is>
          <t>Frete nacional</t>
        </is>
      </c>
      <c r="B24" s="33">
        <f>$B$53</f>
        <v/>
      </c>
      <c r="C24" s="34">
        <f>B24/$B$9</f>
        <v/>
      </c>
      <c r="D24" s="3">
        <f>$B$53</f>
        <v/>
      </c>
      <c r="E24" s="2">
        <f>D24/$B$9</f>
        <v/>
      </c>
      <c r="F24" s="3">
        <f>$B$53</f>
        <v/>
      </c>
      <c r="G24" s="2">
        <f>F24/$B$9</f>
        <v/>
      </c>
      <c r="H24" s="3">
        <f>$B$53</f>
        <v/>
      </c>
      <c r="I24" s="2">
        <f>H24/$B$9</f>
        <v/>
      </c>
      <c r="J24" s="3">
        <f>$B$53</f>
        <v/>
      </c>
      <c r="K24" s="2">
        <f>J24/$B$9</f>
        <v/>
      </c>
    </row>
    <row r="25">
      <c r="A25" t="inlineStr">
        <is>
          <t>Supermetal - reforma / integração</t>
        </is>
      </c>
      <c r="B25" s="33">
        <f>$B$54</f>
        <v/>
      </c>
      <c r="C25" s="34">
        <f>B25/$B$9</f>
        <v/>
      </c>
      <c r="D25" s="3">
        <f>$B$54</f>
        <v/>
      </c>
      <c r="E25" s="2">
        <f>D25/$B$9</f>
        <v/>
      </c>
      <c r="F25" s="3">
        <f>$B$54</f>
        <v/>
      </c>
      <c r="G25" s="2">
        <f>F25/$B$9</f>
        <v/>
      </c>
      <c r="H25" s="3">
        <f>$B$54</f>
        <v/>
      </c>
      <c r="I25" s="2">
        <f>H25/$B$9</f>
        <v/>
      </c>
      <c r="J25" s="3">
        <f>$B$54</f>
        <v/>
      </c>
      <c r="K25" s="2">
        <f>J25/$B$9</f>
        <v/>
      </c>
    </row>
    <row r="26">
      <c r="A26" s="27" t="inlineStr">
        <is>
          <t>CUSTO FINAL (com TP):</t>
        </is>
      </c>
      <c r="B26" s="35">
        <f>SUM(B19:B25)</f>
        <v/>
      </c>
      <c r="C26" s="36">
        <f>B26/$B$9</f>
        <v/>
      </c>
      <c r="D26" s="37">
        <f>SUM(D19:D25)</f>
        <v/>
      </c>
      <c r="E26" s="38">
        <f>D26/$B$9</f>
        <v/>
      </c>
      <c r="F26" s="37">
        <f>SUM(F19:F25)</f>
        <v/>
      </c>
      <c r="G26" s="38">
        <f>F26/$B$9</f>
        <v/>
      </c>
      <c r="H26" s="37">
        <f>SUM(H19:H25)</f>
        <v/>
      </c>
      <c r="I26" s="38">
        <f>H26/$B$9</f>
        <v/>
      </c>
      <c r="J26" s="37">
        <f>SUM(J19:J25)</f>
        <v/>
      </c>
      <c r="K26" s="38">
        <f>J26/$B$9</f>
        <v/>
      </c>
    </row>
    <row r="27">
      <c r="A27" t="inlineStr">
        <is>
          <t>Base p/ margem (Custo Final - TP)</t>
        </is>
      </c>
      <c r="B27" s="33">
        <f>B26-B21</f>
        <v/>
      </c>
      <c r="C27" s="34">
        <f>B27/$B$9</f>
        <v/>
      </c>
      <c r="D27" s="3">
        <f>D26-D21</f>
        <v/>
      </c>
      <c r="E27" s="2">
        <f>D27/$B$9</f>
        <v/>
      </c>
      <c r="F27" s="3">
        <f>F26-F21</f>
        <v/>
      </c>
      <c r="G27" s="2">
        <f>F27/$B$9</f>
        <v/>
      </c>
      <c r="H27" s="3">
        <f>H26-H21</f>
        <v/>
      </c>
      <c r="I27" s="2">
        <f>H27/$B$9</f>
        <v/>
      </c>
      <c r="J27" s="3">
        <f>J26-J21</f>
        <v/>
      </c>
      <c r="K27" s="2">
        <f>J27/$B$9</f>
        <v/>
      </c>
    </row>
    <row r="28">
      <c r="A28" t="inlineStr">
        <is>
          <t>Preço líquido s/ TP (Base / (1 - TDM))</t>
        </is>
      </c>
      <c r="B28" s="33">
        <f>B27/(1-$B$10)</f>
        <v/>
      </c>
      <c r="C28" s="34">
        <f>B28/$B$9</f>
        <v/>
      </c>
      <c r="D28" s="3">
        <f>D27/(1-$B$10)</f>
        <v/>
      </c>
      <c r="E28" s="2">
        <f>D28/$B$9</f>
        <v/>
      </c>
      <c r="F28" s="3">
        <f>F27/(1-$B$10)</f>
        <v/>
      </c>
      <c r="G28" s="2">
        <f>F28/$B$9</f>
        <v/>
      </c>
      <c r="H28" s="3">
        <f>H27/(1-$B$10)</f>
        <v/>
      </c>
      <c r="I28" s="2">
        <f>H28/$B$9</f>
        <v/>
      </c>
      <c r="J28" s="3">
        <f>J27/(1-$B$10)</f>
        <v/>
      </c>
      <c r="K28" s="2">
        <f>J28/$B$9</f>
        <v/>
      </c>
    </row>
    <row r="29">
      <c r="A29" s="27" t="inlineStr">
        <is>
          <t>PREÇO LÍQUIDO ('NOSSO PREÇO'):</t>
        </is>
      </c>
      <c r="B29" s="35">
        <f>B28+B21</f>
        <v/>
      </c>
      <c r="C29" s="36">
        <f>B29/$B$9</f>
        <v/>
      </c>
      <c r="D29" s="37">
        <f>D28+D21</f>
        <v/>
      </c>
      <c r="E29" s="38">
        <f>D29/$B$9</f>
        <v/>
      </c>
      <c r="F29" s="37">
        <f>F28+F21</f>
        <v/>
      </c>
      <c r="G29" s="38">
        <f>F29/$B$9</f>
        <v/>
      </c>
      <c r="H29" s="37">
        <f>H28+H21</f>
        <v/>
      </c>
      <c r="I29" s="38">
        <f>H29/$B$9</f>
        <v/>
      </c>
      <c r="J29" s="37">
        <f>J28+J21</f>
        <v/>
      </c>
      <c r="K29" s="38">
        <f>J29/$B$9</f>
        <v/>
      </c>
    </row>
    <row r="30">
      <c r="A30" t="inlineStr">
        <is>
          <t>+ PIS/COFINS (por dentro)</t>
        </is>
      </c>
      <c r="B30" s="33">
        <f>B29/(1-$B$11)</f>
        <v/>
      </c>
      <c r="C30" s="34">
        <f>B30/$B$9</f>
        <v/>
      </c>
      <c r="D30" s="3">
        <f>D29/(1-$B$11)</f>
        <v/>
      </c>
      <c r="E30" s="2">
        <f>D30/$B$9</f>
        <v/>
      </c>
      <c r="F30" s="3">
        <f>F29/(1-$B$11)</f>
        <v/>
      </c>
      <c r="G30" s="2">
        <f>F30/$B$9</f>
        <v/>
      </c>
      <c r="H30" s="3">
        <f>H29/(1-$B$11)</f>
        <v/>
      </c>
      <c r="I30" s="2">
        <f>H30/$B$9</f>
        <v/>
      </c>
      <c r="J30" s="3">
        <f>J29/(1-$B$11)</f>
        <v/>
      </c>
      <c r="K30" s="2">
        <f>J30/$B$9</f>
        <v/>
      </c>
    </row>
    <row r="31">
      <c r="A31" t="inlineStr">
        <is>
          <t>+ ICMS (por dentro)</t>
        </is>
      </c>
      <c r="B31" s="33">
        <f>B30/(1-$B$12)</f>
        <v/>
      </c>
      <c r="C31" s="34">
        <f>B31/$B$9</f>
        <v/>
      </c>
      <c r="D31" s="3">
        <f>D30/(1-$B$12)</f>
        <v/>
      </c>
      <c r="E31" s="2">
        <f>D31/$B$9</f>
        <v/>
      </c>
      <c r="F31" s="3">
        <f>F30/(1-$B$12)</f>
        <v/>
      </c>
      <c r="G31" s="2">
        <f>F31/$B$9</f>
        <v/>
      </c>
      <c r="H31" s="3">
        <f>H30/(1-$B$12)</f>
        <v/>
      </c>
      <c r="I31" s="2">
        <f>H31/$B$9</f>
        <v/>
      </c>
      <c r="J31" s="3">
        <f>J30/(1-$B$12)</f>
        <v/>
      </c>
      <c r="K31" s="2">
        <f>J31/$B$9</f>
        <v/>
      </c>
    </row>
    <row r="32">
      <c r="A32" t="inlineStr">
        <is>
          <t>+ IPI (por fora)</t>
        </is>
      </c>
      <c r="B32" s="33">
        <f>B31*$B$13</f>
        <v/>
      </c>
      <c r="C32" s="34">
        <f>B32/$B$9</f>
        <v/>
      </c>
      <c r="D32" s="3">
        <f>D31*$B$13</f>
        <v/>
      </c>
      <c r="E32" s="2">
        <f>D32/$B$9</f>
        <v/>
      </c>
      <c r="F32" s="3">
        <f>F31*$B$13</f>
        <v/>
      </c>
      <c r="G32" s="2">
        <f>F32/$B$9</f>
        <v/>
      </c>
      <c r="H32" s="3">
        <f>H31*$B$13</f>
        <v/>
      </c>
      <c r="I32" s="2">
        <f>H32/$B$9</f>
        <v/>
      </c>
      <c r="J32" s="3">
        <f>J31*$B$13</f>
        <v/>
      </c>
      <c r="K32" s="2">
        <f>J32/$B$9</f>
        <v/>
      </c>
    </row>
    <row r="33">
      <c r="A33" s="27" t="inlineStr">
        <is>
          <t>PREÇO FINAL AO CLIENTE:</t>
        </is>
      </c>
      <c r="B33" s="35">
        <f>B31+B32</f>
        <v/>
      </c>
      <c r="C33" s="36">
        <f>B33/$B$9</f>
        <v/>
      </c>
      <c r="D33" s="37">
        <f>D31+D32</f>
        <v/>
      </c>
      <c r="E33" s="38">
        <f>D33/$B$9</f>
        <v/>
      </c>
      <c r="F33" s="37">
        <f>F31+F32</f>
        <v/>
      </c>
      <c r="G33" s="38">
        <f>F33/$B$9</f>
        <v/>
      </c>
      <c r="H33" s="37">
        <f>H31+H32</f>
        <v/>
      </c>
      <c r="I33" s="38">
        <f>H33/$B$9</f>
        <v/>
      </c>
      <c r="J33" s="37">
        <f>J31+J32</f>
        <v/>
      </c>
      <c r="K33" s="38">
        <f>J33/$B$9</f>
        <v/>
      </c>
    </row>
    <row r="36">
      <c r="A36" s="31" t="inlineStr">
        <is>
          <t>O QUE PESA NO PREÇO FINAL AO CLIENTE  (caso base)</t>
        </is>
      </c>
    </row>
    <row r="37">
      <c r="A37" s="27" t="inlineStr">
        <is>
          <t>Retirar TODO o imposto de importação (II) reduz o Preço Final ao Cliente em</t>
        </is>
      </c>
      <c r="B37" s="39">
        <f>D33-F33</f>
        <v/>
      </c>
      <c r="C37" s="2">
        <f>B37/$B$9</f>
        <v/>
      </c>
    </row>
    <row r="38">
      <c r="A38" s="27" t="inlineStr">
        <is>
          <t>Impostos locais de saída (PIS/COFINS + ICMS + IPI) somados ao Preço Líquido</t>
        </is>
      </c>
      <c r="B38" s="39">
        <f>D33-D29</f>
        <v/>
      </c>
      <c r="C38" s="2">
        <f>B38/$B$9</f>
        <v/>
      </c>
    </row>
    <row r="39">
      <c r="A39" s="27" t="inlineStr">
        <is>
          <t>Os impostos locais são quantas vezes maiores que o efeito do II?</t>
        </is>
      </c>
      <c r="B39" s="40">
        <f>B38/B37</f>
        <v/>
      </c>
    </row>
    <row r="40">
      <c r="A40" s="27" t="inlineStr">
        <is>
          <t>Preço Final ao Cliente SEM II e com 1 conjunto de bateria, vs. referência EUA</t>
        </is>
      </c>
      <c r="B40" s="41">
        <f>J33/$B$9</f>
        <v/>
      </c>
      <c r="C40" s="16">
        <f>B40/$B$14-1</f>
        <v/>
      </c>
    </row>
    <row r="42">
      <c r="A42" s="26" t="inlineStr">
        <is>
          <t>- O II está dentro do custo, então é multiplicado pela margem (1/(1-TDM)) e depois pela cascata de impostos locais - retirar o II vale cerca de 2,7x o valor dele no preço final.</t>
        </is>
      </c>
    </row>
    <row r="43">
      <c r="A43" s="26" t="inlineStr">
        <is>
          <t>- Mesmo assim, os impostos locais de saída (PIS/COFINS, ICMS, IPI) incidem sobre o preço inteiro e pesam mais que o efeito do II - esse é o ponto desta aba.</t>
        </is>
      </c>
    </row>
    <row r="44">
      <c r="A44" s="26" t="inlineStr">
        <is>
          <t>- Conjuntos de bateria: II, TP e frete das baterias escalam com a quantidade; os valores vêm da Final Cost List (84A222059P5, grupo sem TP histórico -&gt; 17,2%, sem NCM confirmada -&gt; II 18%).</t>
        </is>
      </c>
    </row>
    <row r="46">
      <c r="A46" s="27" t="inlineStr">
        <is>
          <t>VALORES-BASE (lidos da aba P&amp;L)</t>
        </is>
      </c>
    </row>
    <row r="47" ht="48" customHeight="1" s="22">
      <c r="B47" s="42" t="inlineStr">
        <is>
          <t>Itens importados, exceto baterias</t>
        </is>
      </c>
      <c r="C47" s="42" t="inlineStr">
        <is>
          <t>Baterias - valor por conjunto (a BOM atual tem 2)</t>
        </is>
      </c>
    </row>
    <row r="48">
      <c r="A48" t="inlineStr">
        <is>
          <t>Raw cost - itens importados</t>
        </is>
      </c>
      <c r="B48" s="3">
        <f>'Resumo Executivo (P&amp;L)'!B10-2*C48</f>
        <v/>
      </c>
      <c r="C48" s="3" t="n">
        <v>79995.64</v>
      </c>
    </row>
    <row r="49">
      <c r="A49" t="inlineStr">
        <is>
          <t>Raw cost - itens PAC</t>
        </is>
      </c>
      <c r="B49" s="3">
        <f>'Resumo Executivo (P&amp;L)'!B11</f>
        <v/>
      </c>
      <c r="C49" s="3" t="n">
        <v>0</v>
      </c>
    </row>
    <row r="50">
      <c r="A50" t="inlineStr">
        <is>
          <t>TP - Transfer Price</t>
        </is>
      </c>
      <c r="B50" s="3">
        <f>'Resumo Executivo (P&amp;L)'!B12-2*C50</f>
        <v/>
      </c>
      <c r="C50" s="3" t="n">
        <v>13759.25</v>
      </c>
    </row>
    <row r="51">
      <c r="A51" t="inlineStr">
        <is>
          <t>Frete internacional</t>
        </is>
      </c>
      <c r="B51" s="3">
        <f>'Resumo Executivo (P&amp;L)'!B13-2*C51</f>
        <v/>
      </c>
      <c r="C51" s="3" t="n">
        <v>1152.78</v>
      </c>
    </row>
    <row r="52">
      <c r="A52" t="inlineStr">
        <is>
          <t>II - Imposto de importação</t>
        </is>
      </c>
      <c r="B52" s="3">
        <f>'Resumo Executivo (P&amp;L)'!B14-2*C52</f>
        <v/>
      </c>
      <c r="C52" s="3" t="n">
        <v>17083.38</v>
      </c>
    </row>
    <row r="53">
      <c r="A53" t="inlineStr">
        <is>
          <t>Frete nacional</t>
        </is>
      </c>
      <c r="B53" s="3">
        <f>'Resumo Executivo (P&amp;L)'!B15</f>
        <v/>
      </c>
      <c r="C53" s="3" t="n">
        <v>0</v>
      </c>
    </row>
    <row r="54">
      <c r="A54" t="inlineStr">
        <is>
          <t>Supermetal - reforma / integração</t>
        </is>
      </c>
      <c r="B54" s="3">
        <f>'Resumo Executivo (P&amp;L)'!B16</f>
        <v/>
      </c>
      <c r="C54" s="3" t="n">
        <v>0</v>
      </c>
    </row>
    <row r="58">
      <c r="A58" s="31" t="inlineStr">
        <is>
          <t>6) REFERÊNCIA: UNIDADE PRONTA DOS EUA IMPORTADA COMO ESTÁ (comprar o Pathfinder pronto de US$900 mil e desembaraçar no Brasil)</t>
        </is>
      </c>
    </row>
    <row r="59">
      <c r="A59" t="inlineStr">
        <is>
          <t>Câmbio usado nessa referência (diferente do câmbio dos cenários acima)</t>
        </is>
      </c>
      <c r="B59" s="43" t="n">
        <v>5.15</v>
      </c>
    </row>
    <row r="60">
      <c r="B60" s="46" t="inlineStr">
        <is>
          <t>BRL</t>
        </is>
      </c>
      <c r="C60" s="46" t="inlineStr">
        <is>
          <t>USD</t>
        </is>
      </c>
    </row>
    <row r="61">
      <c r="A61" t="inlineStr">
        <is>
          <t>Preço EUA (produto pronto, inalterado)</t>
        </is>
      </c>
      <c r="B61" s="3">
        <f>C61*$B$59</f>
        <v/>
      </c>
      <c r="C61" s="2" t="n">
        <v>900000</v>
      </c>
    </row>
    <row r="62">
      <c r="A62" t="inlineStr">
        <is>
          <t>+ Frete internacional + seguro</t>
        </is>
      </c>
      <c r="B62" s="3">
        <f>C62*$B$59</f>
        <v/>
      </c>
      <c r="C62" s="2" t="n">
        <v>80500</v>
      </c>
    </row>
    <row r="63">
      <c r="A63" t="inlineStr">
        <is>
          <t>+ Despesas aduaneiras / importação</t>
        </is>
      </c>
      <c r="B63" s="3">
        <f>C63*$B$59</f>
        <v/>
      </c>
      <c r="C63" s="2" t="n">
        <v>16800</v>
      </c>
    </row>
    <row r="64">
      <c r="A64" t="inlineStr">
        <is>
          <t>+ Todos os impostos de importação (II, IPI, PIS/COFINS, ICMS)</t>
        </is>
      </c>
      <c r="B64" s="3">
        <f>C64*$B$59</f>
        <v/>
      </c>
      <c r="C64" s="2" t="n">
        <v>715700</v>
      </c>
    </row>
    <row r="65">
      <c r="A65" s="27" t="inlineStr">
        <is>
          <t>POSTO NO BRASIL:</t>
        </is>
      </c>
      <c r="B65" s="37">
        <f>C65*$B$59</f>
        <v/>
      </c>
      <c r="C65" s="38">
        <f>SUM(C61:C64)</f>
        <v/>
      </c>
    </row>
    <row r="67">
      <c r="A67" s="27" t="inlineStr">
        <is>
          <t>vs. o Preço Final ao Cliente de cada cenário (positivo = a unidade pronta importada custa mais)</t>
        </is>
      </c>
    </row>
    <row r="68">
      <c r="A68" t="inlineStr">
        <is>
          <t>Base (atual)</t>
        </is>
      </c>
      <c r="B68" s="2">
        <f>C65-E33</f>
        <v/>
      </c>
    </row>
    <row r="69">
      <c r="A69" t="inlineStr">
        <is>
          <t>Sem imposto de importação (II)</t>
        </is>
      </c>
      <c r="B69" s="2">
        <f>C65-G33</f>
        <v/>
      </c>
    </row>
    <row r="70">
      <c r="A70" t="inlineStr">
        <is>
          <t>1 conjunto de bateria</t>
        </is>
      </c>
      <c r="B70" s="2">
        <f>C65-I33</f>
        <v/>
      </c>
    </row>
    <row r="71">
      <c r="A71" t="inlineStr">
        <is>
          <t>Sem II + 1 conjunto de bateria</t>
        </is>
      </c>
      <c r="B71" s="2">
        <f>C65-K33</f>
        <v/>
      </c>
    </row>
    <row r="73" ht="60" customHeight="1" s="22">
      <c r="A73" s="45" t="inlineStr">
        <is>
          <t>- Fonte: 'Planilha de Custos de Importacao - Pathfinder completo- Set 26.xlsx' (aba 'Pathfinder Pronto') - essa planilha NÃO está no repositório, então esses 5 valores foram transcritos do rodapé do slide MRS_Pathfinder_Simulation_Local_Taxes_Bilingual.pptx, não calculados ao vivo. Escopo diferente dos 4 cenários acima: é uma unidade pronta e já fabricada (sem margem da Wabtec Brasil, sem TP, sem reforma da Supermetal - é a importação direta de um produto completo), então não é uma 5ª coluna comparável 1-pra-1 com a tabela de cenários. Pegar a planilha-fonte pra deixar essa linha ao vivo.</t>
        </is>
      </c>
    </row>
  </sheetData>
  <mergeCells count="4">
    <mergeCell ref="A42:H42"/>
    <mergeCell ref="A43:H43"/>
    <mergeCell ref="A73:H73"/>
    <mergeCell ref="A44:H44"/>
  </mergeCells>
  <dataValidations count="2">
    <dataValidation sqref="B5" showDropDown="0" showInputMessage="0" showErrorMessage="0" allowBlank="0" type="list">
      <formula1>"0,1"</formula1>
    </dataValidation>
    <dataValidation sqref="B6" showDropDown="0" showInputMessage="0" showErrorMessage="0" allowBlank="0" type="list">
      <formula1>"1,2"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2026-09-29T19:24:47Z</dcterms:modified>
  <cp:lastModifiedBy>de Oliveira, Matheus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2026-09-23T12:19:40Z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472a3439-5d3a-4506-a3af-3346d7aac8c1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