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 do Rack" sheetId="1" state="visible" r:id="rId1"/>
    <sheet xmlns:r="http://schemas.openxmlformats.org/officeDocument/2006/relationships" name="Cenário P&amp;L" sheetId="2" state="visible" r:id="rId2"/>
  </sheets>
  <definedNames>
    <definedName name="_xlnm._FilterDatabase" localSheetId="0" hidden="1">'Itens do Rack'!$A$3:$O$50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\R\$\ #,##0.00"/>
    <numFmt numFmtId="165" formatCode="\$\ #,##0.00"/>
    <numFmt numFmtId="166" formatCode="#,##0.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  <font>
      <b val="1"/>
      <color rgb="FFFFFFFF"/>
    </font>
    <font>
      <i val="1"/>
      <color rgb="FF808080"/>
      <sz val="9"/>
    </font>
  </fonts>
  <fills count="4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center" wrapText="1"/>
    </xf>
    <xf numFmtId="0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2" borderId="1" pivotButton="0" quotePrefix="0" xfId="0"/>
    <xf numFmtId="10" fontId="0" fillId="2" borderId="1" pivotButton="0" quotePrefix="0" xfId="0"/>
    <xf numFmtId="164" fontId="0" fillId="2" borderId="1" pivotButton="0" quotePrefix="0" xfId="0"/>
    <xf numFmtId="164" fontId="3" fillId="0" borderId="0" pivotButton="0" quotePrefix="0" xfId="0"/>
    <xf numFmtId="165" fontId="3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20" customWidth="1" min="3" max="3"/>
    <col width="12" customWidth="1" min="4" max="4"/>
    <col width="6" customWidth="1" min="5" max="5"/>
    <col width="14" customWidth="1" min="6" max="6"/>
    <col width="16" customWidth="1" min="7" max="7"/>
    <col width="8" customWidth="1" min="8" max="8"/>
    <col width="16" customWidth="1" min="9" max="9"/>
    <col width="14" customWidth="1" min="10" max="10"/>
    <col width="10" customWidth="1" min="11" max="11"/>
    <col width="18" customWidth="1" min="12" max="12"/>
    <col width="16" customWidth="1" min="13" max="13"/>
    <col width="18" customWidth="1" min="14" max="14"/>
    <col width="14" customWidth="1" min="15" max="15"/>
  </cols>
  <sheetData>
    <row r="1">
      <c r="A1" s="1" t="inlineStr">
        <is>
          <t>ITENS IMPORTADOS DOS EUA - grupo de cada item (altere a coluna D para mover um item de grupo)</t>
        </is>
      </c>
    </row>
    <row r="3">
      <c r="A3" s="2" t="inlineStr">
        <is>
          <t>Part Number</t>
        </is>
      </c>
      <c r="B3" s="2" t="inlineStr">
        <is>
          <t>Descrição</t>
        </is>
      </c>
      <c r="C3" s="2" t="inlineStr">
        <is>
          <t>Subsistema</t>
        </is>
      </c>
      <c r="D3" s="2" t="inlineStr">
        <is>
          <t>Grupo</t>
        </is>
      </c>
      <c r="E3" s="2" t="inlineStr">
        <is>
          <t>Qtd</t>
        </is>
      </c>
      <c r="F3" s="2" t="inlineStr">
        <is>
          <t>Custo Unit. USD</t>
        </is>
      </c>
      <c r="G3" s="2" t="inlineStr">
        <is>
          <t>Raw Cost BRL</t>
        </is>
      </c>
      <c r="H3" s="2" t="inlineStr">
        <is>
          <t>TP %</t>
        </is>
      </c>
      <c r="I3" s="2" t="inlineStr">
        <is>
          <t>TP BRL</t>
        </is>
      </c>
      <c r="J3" s="2" t="inlineStr">
        <is>
          <t>Frete Intl BRL</t>
        </is>
      </c>
      <c r="K3" s="2" t="inlineStr">
        <is>
          <t>II % (normal)</t>
        </is>
      </c>
      <c r="L3" s="2" t="inlineStr">
        <is>
          <t>II BRL (sem ex-tarifário)</t>
        </is>
      </c>
      <c r="M3" s="2" t="inlineStr">
        <is>
          <t>Ex-tarifário se aplica? (cenário Rack)</t>
        </is>
      </c>
      <c r="N3" s="2" t="inlineStr">
        <is>
          <t>Ex-tarifário se aplica? (cenário Rack + Fastbrake)</t>
        </is>
      </c>
      <c r="O3" s="2" t="inlineStr">
        <is>
          <t>Peso (kg, total)</t>
        </is>
      </c>
    </row>
    <row r="4">
      <c r="A4" t="inlineStr">
        <is>
          <t>84A215295P62</t>
        </is>
      </c>
      <c r="B4" t="inlineStr">
        <is>
          <t>Pneumatic Brake Control System (Including lament and control portions) Includes EM EAB Control Functionality</t>
        </is>
      </c>
      <c r="C4" t="inlineStr">
        <is>
          <t>Fastbrake</t>
        </is>
      </c>
      <c r="D4" s="3" t="inlineStr">
        <is>
          <t>Fastbrake</t>
        </is>
      </c>
      <c r="E4" t="n">
        <v>1</v>
      </c>
      <c r="F4" s="4" t="n">
        <v>23409.1</v>
      </c>
      <c r="G4" s="5">
        <f>F4*E4*'Cenário P&amp;L'!$B$3</f>
        <v/>
      </c>
      <c r="H4" s="6" t="n">
        <v>0.13</v>
      </c>
      <c r="I4" s="5">
        <f>G4*H4</f>
        <v/>
      </c>
      <c r="J4" s="5">
        <f>(G4+I4)*0.012295642058762843</f>
        <v/>
      </c>
      <c r="K4" s="6" t="n">
        <v>0.18</v>
      </c>
      <c r="L4" s="5">
        <f>(G4+I4+J4)*K4</f>
        <v/>
      </c>
      <c r="M4">
        <f>IF(D4="Rack",1,0)</f>
        <v/>
      </c>
      <c r="N4">
        <f>IF(OR(D4="Rack",D4="Fastbrake"),1,0)</f>
        <v/>
      </c>
      <c r="O4" t="n">
        <v>134.263</v>
      </c>
    </row>
    <row r="5">
      <c r="A5" t="inlineStr">
        <is>
          <t>84A215295P73</t>
        </is>
      </c>
      <c r="B5" t="inlineStr">
        <is>
          <t>Air Brake Handle Assembly (AAR Console)</t>
        </is>
      </c>
      <c r="C5" t="inlineStr">
        <is>
          <t>Fastbrake</t>
        </is>
      </c>
      <c r="D5" s="3" t="inlineStr">
        <is>
          <t>Fastbrake</t>
        </is>
      </c>
      <c r="E5" t="n">
        <v>1</v>
      </c>
      <c r="F5" s="4" t="n">
        <v>5702.83</v>
      </c>
      <c r="G5" s="5">
        <f>F5*E5*'Cenário P&amp;L'!$B$3</f>
        <v/>
      </c>
      <c r="H5" s="6" t="n">
        <v>0.13</v>
      </c>
      <c r="I5" s="5">
        <f>G5*H5</f>
        <v/>
      </c>
      <c r="J5" s="5">
        <f>(G5+I5)*0.012295642058762843</f>
        <v/>
      </c>
      <c r="K5" s="6" t="n">
        <v>0.18</v>
      </c>
      <c r="L5" s="5">
        <f>(G5+I5+J5)*K5</f>
        <v/>
      </c>
      <c r="M5">
        <f>IF(D5="Rack",1,0)</f>
        <v/>
      </c>
      <c r="N5">
        <f>IF(OR(D5="Rack",D5="Fastbrake"),1,0)</f>
        <v/>
      </c>
      <c r="O5" t="n">
        <v>7.938</v>
      </c>
    </row>
    <row r="6">
      <c r="A6" t="inlineStr">
        <is>
          <t>84A215295P3</t>
        </is>
      </c>
      <c r="B6" t="inlineStr">
        <is>
          <t>POU-to-Handle cable 18' length</t>
        </is>
      </c>
      <c r="C6" t="inlineStr">
        <is>
          <t>Fastbrake</t>
        </is>
      </c>
      <c r="D6" s="3" t="inlineStr">
        <is>
          <t>Fastbrake</t>
        </is>
      </c>
      <c r="E6" t="n">
        <v>1</v>
      </c>
      <c r="F6" s="4" t="n">
        <v>1036.89</v>
      </c>
      <c r="G6" s="5">
        <f>F6*E6*'Cenário P&amp;L'!$B$3</f>
        <v/>
      </c>
      <c r="H6" s="6" t="n">
        <v>0.13</v>
      </c>
      <c r="I6" s="5">
        <f>G6*H6</f>
        <v/>
      </c>
      <c r="J6" s="5">
        <f>(G6+I6)*0.012295642058762843</f>
        <v/>
      </c>
      <c r="K6" s="6" t="n">
        <v>0.18</v>
      </c>
      <c r="L6" s="5">
        <f>(G6+I6+J6)*K6</f>
        <v/>
      </c>
      <c r="M6">
        <f>IF(D6="Rack",1,0)</f>
        <v/>
      </c>
      <c r="N6">
        <f>IF(OR(D6="Rack",D6="Fastbrake"),1,0)</f>
        <v/>
      </c>
      <c r="O6" t="n">
        <v>1.247</v>
      </c>
    </row>
    <row r="7">
      <c r="A7" t="inlineStr">
        <is>
          <t>84A222059P5</t>
        </is>
      </c>
      <c r="B7" t="inlineStr">
        <is>
          <t>BATTERIES</t>
        </is>
      </c>
      <c r="C7" t="inlineStr">
        <is>
          <t>POWER</t>
        </is>
      </c>
      <c r="D7" s="3" t="inlineStr">
        <is>
          <t>Other</t>
        </is>
      </c>
      <c r="E7" t="n">
        <v>2</v>
      </c>
      <c r="F7" s="4" t="n">
        <v>15685.42</v>
      </c>
      <c r="G7" s="5">
        <f>F7*E7*'Cenário P&amp;L'!$B$3</f>
        <v/>
      </c>
      <c r="H7" s="6" t="n">
        <v>0.172</v>
      </c>
      <c r="I7" s="5">
        <f>G7*H7</f>
        <v/>
      </c>
      <c r="J7" s="5">
        <f>(G7+I7)*0.012295642058762843</f>
        <v/>
      </c>
      <c r="K7" s="6" t="n">
        <v>0.18</v>
      </c>
      <c r="L7" s="5">
        <f>(G7+I7+J7)*K7</f>
        <v/>
      </c>
      <c r="M7">
        <f>IF(D7="Rack",1,0)</f>
        <v/>
      </c>
      <c r="N7">
        <f>IF(OR(D7="Rack",D7="Fastbrake"),1,0)</f>
        <v/>
      </c>
      <c r="O7" t="n">
        <v>2246.19</v>
      </c>
    </row>
    <row r="8">
      <c r="A8" t="inlineStr">
        <is>
          <t>41A296352LUG24</t>
        </is>
      </c>
      <c r="B8" t="inlineStr">
        <is>
          <t>CSX Antenna Enclosure Arrangement</t>
        </is>
      </c>
      <c r="C8" t="inlineStr">
        <is>
          <t>ANTENNA KIT Master</t>
        </is>
      </c>
      <c r="D8" s="3" t="inlineStr">
        <is>
          <t>Other</t>
        </is>
      </c>
      <c r="E8" t="n">
        <v>1</v>
      </c>
      <c r="F8" s="4" t="n">
        <v>30000</v>
      </c>
      <c r="G8" s="5">
        <f>F8*E8*'Cenário P&amp;L'!$B$3</f>
        <v/>
      </c>
      <c r="H8" s="6" t="n">
        <v>0.172</v>
      </c>
      <c r="I8" s="5">
        <f>G8*H8</f>
        <v/>
      </c>
      <c r="J8" s="5">
        <f>(G8+I8)*0.012295642058762843</f>
        <v/>
      </c>
      <c r="K8" s="6" t="n">
        <v>0.18</v>
      </c>
      <c r="L8" s="5">
        <f>(G8+I8+J8)*K8</f>
        <v/>
      </c>
      <c r="M8">
        <f>IF(D8="Rack",1,0)</f>
        <v/>
      </c>
      <c r="N8">
        <f>IF(OR(D8="Rack",D8="Fastbrake"),1,0)</f>
        <v/>
      </c>
      <c r="O8" t="n">
        <v>136.078</v>
      </c>
    </row>
    <row r="9">
      <c r="A9" t="inlineStr">
        <is>
          <t>17KC108E28</t>
        </is>
      </c>
      <c r="B9" t="inlineStr">
        <is>
          <t>MASTER CONTROLLER</t>
        </is>
      </c>
      <c r="C9" t="inlineStr">
        <is>
          <t>TRAIN CONTROL</t>
        </is>
      </c>
      <c r="D9" s="3" t="inlineStr">
        <is>
          <t>Other</t>
        </is>
      </c>
      <c r="E9" t="n">
        <v>1</v>
      </c>
      <c r="F9" s="4" t="n">
        <v>5877.102</v>
      </c>
      <c r="G9" s="5">
        <f>F9*E9*'Cenário P&amp;L'!$B$3</f>
        <v/>
      </c>
      <c r="H9" s="6" t="n">
        <v>0.13</v>
      </c>
      <c r="I9" s="5">
        <f>G9*H9</f>
        <v/>
      </c>
      <c r="J9" s="5">
        <f>(G9+I9)*0.012295642058762843</f>
        <v/>
      </c>
      <c r="K9" s="6" t="n">
        <v>0.18</v>
      </c>
      <c r="L9" s="5">
        <f>(G9+I9+J9)*K9</f>
        <v/>
      </c>
      <c r="M9">
        <f>IF(D9="Rack",1,0)</f>
        <v/>
      </c>
      <c r="N9">
        <f>IF(OR(D9="Rack",D9="Fastbrake"),1,0)</f>
        <v/>
      </c>
      <c r="O9" t="n">
        <v>25.855</v>
      </c>
    </row>
    <row r="10">
      <c r="A10" t="inlineStr">
        <is>
          <t>41A296352DNP55</t>
        </is>
      </c>
      <c r="B10" t="inlineStr">
        <is>
          <t>VOICE RADIO RITRON</t>
        </is>
      </c>
      <c r="C10" t="inlineStr">
        <is>
          <t>VOICE RADIO</t>
        </is>
      </c>
      <c r="D10" s="3" t="inlineStr">
        <is>
          <t>Other</t>
        </is>
      </c>
      <c r="E10" t="n">
        <v>1</v>
      </c>
      <c r="F10" s="4" t="n">
        <v>3933</v>
      </c>
      <c r="G10" s="5">
        <f>F10*E10*'Cenário P&amp;L'!$B$3</f>
        <v/>
      </c>
      <c r="H10" s="6" t="n">
        <v>0.172</v>
      </c>
      <c r="I10" s="5">
        <f>G10*H10</f>
        <v/>
      </c>
      <c r="J10" s="5">
        <f>(G10+I10)*0.012295642058762843</f>
        <v/>
      </c>
      <c r="K10" s="6" t="n">
        <v>0.18</v>
      </c>
      <c r="L10" s="5">
        <f>(G10+I10+J10)*K10</f>
        <v/>
      </c>
      <c r="M10">
        <f>IF(D10="Rack",1,0)</f>
        <v/>
      </c>
      <c r="N10">
        <f>IF(OR(D10="Rack",D10="Fastbrake"),1,0)</f>
        <v/>
      </c>
      <c r="O10" t="n">
        <v>7.575</v>
      </c>
    </row>
    <row r="11">
      <c r="A11" t="inlineStr">
        <is>
          <t>41B546155P2</t>
        </is>
      </c>
      <c r="B11" t="inlineStr">
        <is>
          <t>Horn</t>
        </is>
      </c>
      <c r="C11" t="inlineStr">
        <is>
          <t>TRAIN CONTROL</t>
        </is>
      </c>
      <c r="D11" s="3" t="inlineStr">
        <is>
          <t>Other</t>
        </is>
      </c>
      <c r="E11" t="n">
        <v>1</v>
      </c>
      <c r="F11" s="4" t="n">
        <v>1891.99</v>
      </c>
      <c r="G11" s="5">
        <f>F11*E11*'Cenário P&amp;L'!$B$3</f>
        <v/>
      </c>
      <c r="H11" s="6" t="n">
        <v>0.172</v>
      </c>
      <c r="I11" s="5">
        <f>G11*H11</f>
        <v/>
      </c>
      <c r="J11" s="5">
        <f>(G11+I11)*0.012295642058762843</f>
        <v/>
      </c>
      <c r="K11" s="6" t="n">
        <v>0.18</v>
      </c>
      <c r="L11" s="5">
        <f>(G11+I11+J11)*K11</f>
        <v/>
      </c>
      <c r="M11">
        <f>IF(D11="Rack",1,0)</f>
        <v/>
      </c>
      <c r="N11">
        <f>IF(OR(D11="Rack",D11="Fastbrake"),1,0)</f>
        <v/>
      </c>
      <c r="O11" t="n">
        <v>4.536</v>
      </c>
    </row>
    <row r="12">
      <c r="A12" t="inlineStr">
        <is>
          <t>(no PN)</t>
        </is>
      </c>
      <c r="B12" t="inlineStr">
        <is>
          <t>Ditchlight Control Box (SMART BOX-V3-DLC )</t>
        </is>
      </c>
      <c r="C12" t="inlineStr">
        <is>
          <t>TRAIN CONTROL</t>
        </is>
      </c>
      <c r="D12" s="3" t="inlineStr">
        <is>
          <t>Other</t>
        </is>
      </c>
      <c r="E12" t="n">
        <v>2</v>
      </c>
      <c r="F12" s="4" t="n">
        <v>800</v>
      </c>
      <c r="G12" s="5">
        <f>F12*E12*'Cenário P&amp;L'!$B$3</f>
        <v/>
      </c>
      <c r="H12" s="6" t="n">
        <v>0.13</v>
      </c>
      <c r="I12" s="5">
        <f>G12*H12</f>
        <v/>
      </c>
      <c r="J12" s="5">
        <f>(G12+I12)*0.012295642058762843</f>
        <v/>
      </c>
      <c r="K12" s="6" t="n">
        <v>0.18</v>
      </c>
      <c r="L12" s="5">
        <f>(G12+I12+J12)*K12</f>
        <v/>
      </c>
      <c r="M12">
        <f>IF(D12="Rack",1,0)</f>
        <v/>
      </c>
      <c r="N12">
        <f>IF(OR(D12="Rack",D12="Fastbrake"),1,0)</f>
        <v/>
      </c>
      <c r="O12" t="n">
        <v>4.536</v>
      </c>
    </row>
    <row r="13">
      <c r="A13" t="inlineStr">
        <is>
          <t>41D758679BJG16 	84D704379AFG1</t>
        </is>
      </c>
      <c r="B13" t="inlineStr">
        <is>
          <t>EC Part NumberL ASM</t>
        </is>
      </c>
      <c r="C13" t="inlineStr">
        <is>
          <t>Circuit Breaker</t>
        </is>
      </c>
      <c r="D13" s="3" t="inlineStr">
        <is>
          <t>Other</t>
        </is>
      </c>
      <c r="E13" t="n">
        <v>1</v>
      </c>
      <c r="F13" s="4" t="n">
        <v>1572.36</v>
      </c>
      <c r="G13" s="5">
        <f>F13*E13*'Cenário P&amp;L'!$B$3</f>
        <v/>
      </c>
      <c r="H13" s="6" t="n">
        <v>0.13</v>
      </c>
      <c r="I13" s="5">
        <f>G13*H13</f>
        <v/>
      </c>
      <c r="J13" s="5">
        <f>(G13+I13)*0.012295642058762843</f>
        <v/>
      </c>
      <c r="K13" s="6" t="n">
        <v>0.126</v>
      </c>
      <c r="L13" s="5">
        <f>(G13+I13+J13)*K13</f>
        <v/>
      </c>
      <c r="M13">
        <f>IF(D13="Rack",1,0)</f>
        <v/>
      </c>
      <c r="N13">
        <f>IF(OR(D13="Rack",D13="Fastbrake"),1,0)</f>
        <v/>
      </c>
      <c r="O13" t="n">
        <v>4.99</v>
      </c>
    </row>
    <row r="14">
      <c r="A14" t="inlineStr">
        <is>
          <t>(no PN)</t>
        </is>
      </c>
      <c r="B14" t="inlineStr">
        <is>
          <t>LED Ditch Light</t>
        </is>
      </c>
      <c r="C14" t="inlineStr">
        <is>
          <t>TRAIN CONTROL</t>
        </is>
      </c>
      <c r="D14" s="3" t="inlineStr">
        <is>
          <t>Other</t>
        </is>
      </c>
      <c r="E14" t="n">
        <v>4</v>
      </c>
      <c r="F14" s="4" t="n">
        <v>375</v>
      </c>
      <c r="G14" s="5">
        <f>F14*E14*'Cenário P&amp;L'!$B$3</f>
        <v/>
      </c>
      <c r="H14" s="6" t="n">
        <v>0.13</v>
      </c>
      <c r="I14" s="5">
        <f>G14*H14</f>
        <v/>
      </c>
      <c r="J14" s="5">
        <f>(G14+I14)*0.012295642058762843</f>
        <v/>
      </c>
      <c r="K14" s="6" t="n">
        <v>0.18</v>
      </c>
      <c r="L14" s="5">
        <f>(G14+I14+J14)*K14</f>
        <v/>
      </c>
      <c r="M14">
        <f>IF(D14="Rack",1,0)</f>
        <v/>
      </c>
      <c r="N14">
        <f>IF(OR(D14="Rack",D14="Fastbrake"),1,0)</f>
        <v/>
      </c>
      <c r="O14" t="n">
        <v>3.628</v>
      </c>
    </row>
    <row r="15">
      <c r="A15" t="inlineStr">
        <is>
          <t>RCCR-RMTCBL-RA-CUSTOM</t>
        </is>
      </c>
      <c r="B15" t="inlineStr">
        <is>
          <t>VOICE RADIO RITRON CABLE,REMOTE,RR-225/XXX, RCCR,RIGHT ANGLE,19-PIN,FLAME RETARDANT</t>
        </is>
      </c>
      <c r="C15" t="inlineStr">
        <is>
          <t>VOICE RADIO</t>
        </is>
      </c>
      <c r="D15" s="3" t="inlineStr">
        <is>
          <t>Other</t>
        </is>
      </c>
      <c r="E15" t="n">
        <v>1</v>
      </c>
      <c r="F15" s="4" t="n">
        <v>761</v>
      </c>
      <c r="G15" s="5">
        <f>F15*E15*'Cenário P&amp;L'!$B$3</f>
        <v/>
      </c>
      <c r="H15" s="6" t="n">
        <v>0.172</v>
      </c>
      <c r="I15" s="5">
        <f>G15*H15</f>
        <v/>
      </c>
      <c r="J15" s="5">
        <f>(G15+I15)*0.012295642058762843</f>
        <v/>
      </c>
      <c r="K15" s="6" t="n">
        <v>0.18</v>
      </c>
      <c r="L15" s="5">
        <f>(G15+I15+J15)*K15</f>
        <v/>
      </c>
      <c r="M15">
        <f>IF(D15="Rack",1,0)</f>
        <v/>
      </c>
      <c r="N15">
        <f>IF(OR(D15="Rack",D15="Fastbrake"),1,0)</f>
        <v/>
      </c>
    </row>
    <row r="16">
      <c r="A16" t="inlineStr">
        <is>
          <t>84A201850P4</t>
        </is>
      </c>
      <c r="B16" t="inlineStr">
        <is>
          <t>ENGINE CONTROL SWITCH</t>
        </is>
      </c>
      <c r="C16" t="inlineStr">
        <is>
          <t>TRAIN CONTROL</t>
        </is>
      </c>
      <c r="D16" s="3" t="inlineStr">
        <is>
          <t>Other</t>
        </is>
      </c>
      <c r="E16" t="n">
        <v>1</v>
      </c>
      <c r="F16" s="4" t="n">
        <v>171.544</v>
      </c>
      <c r="G16" s="5">
        <f>F16*E16*'Cenário P&amp;L'!$B$3</f>
        <v/>
      </c>
      <c r="H16" s="6" t="n">
        <v>0.13</v>
      </c>
      <c r="I16" s="5">
        <f>G16*H16</f>
        <v/>
      </c>
      <c r="J16" s="5">
        <f>(G16+I16)*0.012295642058762843</f>
        <v/>
      </c>
      <c r="K16" s="6" t="n">
        <v>0.18</v>
      </c>
      <c r="L16" s="5">
        <f>(G16+I16+J16)*K16</f>
        <v/>
      </c>
      <c r="M16">
        <f>IF(D16="Rack",1,0)</f>
        <v/>
      </c>
      <c r="N16">
        <f>IF(OR(D16="Rack",D16="Fastbrake"),1,0)</f>
        <v/>
      </c>
    </row>
    <row r="17">
      <c r="A17" t="inlineStr">
        <is>
          <t>RCCR-PWRCBL</t>
        </is>
      </c>
      <c r="B17" t="inlineStr">
        <is>
          <t>CABLE, PWR, 72V,RA,6.5FT (78").,RR-070,RCCR</t>
        </is>
      </c>
      <c r="C17" t="inlineStr">
        <is>
          <t>VOICE RADIO</t>
        </is>
      </c>
      <c r="D17" s="3" t="inlineStr">
        <is>
          <t>Other</t>
        </is>
      </c>
      <c r="E17" t="n">
        <v>1</v>
      </c>
      <c r="F17" s="4" t="n">
        <v>159</v>
      </c>
      <c r="G17" s="5">
        <f>F17*E17*'Cenário P&amp;L'!$B$3</f>
        <v/>
      </c>
      <c r="H17" s="6" t="n">
        <v>0.13</v>
      </c>
      <c r="I17" s="5">
        <f>G17*H17</f>
        <v/>
      </c>
      <c r="J17" s="5">
        <f>(G17+I17)*0.012295642058762843</f>
        <v/>
      </c>
      <c r="K17" s="6" t="n">
        <v>0.18</v>
      </c>
      <c r="L17" s="5">
        <f>(G17+I17+J17)*K17</f>
        <v/>
      </c>
      <c r="M17">
        <f>IF(D17="Rack",1,0)</f>
        <v/>
      </c>
      <c r="N17">
        <f>IF(OR(D17="Rack",D17="Fastbrake"),1,0)</f>
        <v/>
      </c>
    </row>
    <row r="18">
      <c r="A18" t="inlineStr">
        <is>
          <t>41A212414P31, 41A212414P3 2-Pole Option</t>
        </is>
      </c>
      <c r="B18" t="inlineStr">
        <is>
          <t>AUTOCOUPLER CIRCUIT BREAKER,  CCB(2A)</t>
        </is>
      </c>
      <c r="C18" t="inlineStr">
        <is>
          <t>Circuit Breaker</t>
        </is>
      </c>
      <c r="D18" s="3" t="inlineStr">
        <is>
          <t>Other</t>
        </is>
      </c>
      <c r="E18" t="n">
        <v>1</v>
      </c>
      <c r="F18" s="4" t="n">
        <v>22.0206</v>
      </c>
      <c r="G18" s="5">
        <f>F18*E18*'Cenário P&amp;L'!$B$3</f>
        <v/>
      </c>
      <c r="H18" s="6" t="n">
        <v>0.13</v>
      </c>
      <c r="I18" s="5">
        <f>G18*H18</f>
        <v/>
      </c>
      <c r="J18" s="5">
        <f>(G18+I18)*0.012295642058762843</f>
        <v/>
      </c>
      <c r="K18" s="6" t="n">
        <v>0.08</v>
      </c>
      <c r="L18" s="5">
        <f>(G18+I18+J18)*K18</f>
        <v/>
      </c>
      <c r="M18">
        <f>IF(D18="Rack",1,0)</f>
        <v/>
      </c>
      <c r="N18">
        <f>IF(OR(D18="Rack",D18="Fastbrake"),1,0)</f>
        <v/>
      </c>
      <c r="O18" t="n">
        <v>0.093</v>
      </c>
    </row>
    <row r="19">
      <c r="A19" t="inlineStr">
        <is>
          <t>41A296352CMP437</t>
        </is>
      </c>
      <c r="B19" t="inlineStr">
        <is>
          <t>Dual Processor Module (DPM)+ LXA (Distributed Power Radio)</t>
        </is>
      </c>
      <c r="C19" t="inlineStr">
        <is>
          <t>LXA</t>
        </is>
      </c>
      <c r="D19" s="3" t="inlineStr">
        <is>
          <t>Rack</t>
        </is>
      </c>
      <c r="E19" t="n">
        <v>1</v>
      </c>
      <c r="F19" s="4" t="n">
        <v>63100.8192</v>
      </c>
      <c r="G19" s="5">
        <f>F19*E19*'Cenário P&amp;L'!$B$3</f>
        <v/>
      </c>
      <c r="H19" s="6" t="n">
        <v>0.13</v>
      </c>
      <c r="I19" s="5">
        <f>G19*H19</f>
        <v/>
      </c>
      <c r="J19" s="5">
        <f>(G19+I19)*0.012295642058762843</f>
        <v/>
      </c>
      <c r="K19" s="6" t="n">
        <v>0.18</v>
      </c>
      <c r="L19" s="5">
        <f>(G19+I19+J19)*K19</f>
        <v/>
      </c>
      <c r="M19">
        <f>IF(D19="Rack",1,0)</f>
        <v/>
      </c>
      <c r="N19">
        <f>IF(OR(D19="Rack",D19="Fastbrake"),1,0)</f>
        <v/>
      </c>
      <c r="O19" t="n">
        <v>4.536</v>
      </c>
    </row>
    <row r="20">
      <c r="A20" t="inlineStr">
        <is>
          <t>37495P</t>
        </is>
      </c>
      <c r="B20" t="inlineStr">
        <is>
          <t>KIT ETMS VIRGIN TRAINS FEC EVO44</t>
        </is>
      </c>
      <c r="C20" t="inlineStr">
        <is>
          <t>PTC KIT MASTER</t>
        </is>
      </c>
      <c r="D20" s="3" t="inlineStr">
        <is>
          <t>Rack</t>
        </is>
      </c>
      <c r="E20" t="n">
        <v>1</v>
      </c>
      <c r="F20" s="4" t="n">
        <v>28529</v>
      </c>
      <c r="G20" s="5">
        <f>F20*E20*'Cenário P&amp;L'!$B$3</f>
        <v/>
      </c>
      <c r="H20" s="6" t="n">
        <v>0.13</v>
      </c>
      <c r="I20" s="5">
        <f>G20*H20</f>
        <v/>
      </c>
      <c r="J20" s="5">
        <f>(G20+I20)*0.012295642058762843</f>
        <v/>
      </c>
      <c r="K20" s="6" t="n">
        <v>0.18</v>
      </c>
      <c r="L20" s="5">
        <f>(G20+I20+J20)*K20</f>
        <v/>
      </c>
      <c r="M20">
        <f>IF(D20="Rack",1,0)</f>
        <v/>
      </c>
      <c r="N20">
        <f>IF(OR(D20="Rack",D20="Fastbrake"),1,0)</f>
        <v/>
      </c>
      <c r="O20" t="n">
        <v>45.359</v>
      </c>
    </row>
    <row r="21">
      <c r="A21" t="inlineStr">
        <is>
          <t>41A296352DNP37</t>
        </is>
      </c>
      <c r="B21" t="inlineStr">
        <is>
          <t>RADIO PRAD PTC RADIO</t>
        </is>
      </c>
      <c r="C21" t="inlineStr">
        <is>
          <t>PTC</t>
        </is>
      </c>
      <c r="D21" s="3" t="inlineStr">
        <is>
          <t>Rack</t>
        </is>
      </c>
      <c r="E21" t="n">
        <v>1</v>
      </c>
      <c r="F21" s="4" t="n">
        <v>20000</v>
      </c>
      <c r="G21" s="5">
        <f>F21*E21*'Cenário P&amp;L'!$B$3</f>
        <v/>
      </c>
      <c r="H21" s="6" t="n">
        <v>0.172</v>
      </c>
      <c r="I21" s="5">
        <f>G21*H21</f>
        <v/>
      </c>
      <c r="J21" s="5">
        <f>(G21+I21)*0.012295642058762843</f>
        <v/>
      </c>
      <c r="K21" s="6" t="n">
        <v>0.18</v>
      </c>
      <c r="L21" s="5">
        <f>(G21+I21+J21)*K21</f>
        <v/>
      </c>
      <c r="M21">
        <f>IF(D21="Rack",1,0)</f>
        <v/>
      </c>
      <c r="N21">
        <f>IF(OR(D21="Rack",D21="Fastbrake"),1,0)</f>
        <v/>
      </c>
      <c r="O21" t="n">
        <v>9.616</v>
      </c>
    </row>
    <row r="22">
      <c r="A22" t="inlineStr">
        <is>
          <t>17FM878A6</t>
        </is>
      </c>
      <c r="B22" t="inlineStr">
        <is>
          <t>NIO 2.0</t>
        </is>
      </c>
      <c r="C22" t="inlineStr">
        <is>
          <t>MCA</t>
        </is>
      </c>
      <c r="D22" s="3" t="inlineStr">
        <is>
          <t>Rack</t>
        </is>
      </c>
      <c r="E22" t="n">
        <v>3</v>
      </c>
      <c r="F22" s="4" t="n">
        <v>5176.9118</v>
      </c>
      <c r="G22" s="5">
        <f>F22*E22*'Cenário P&amp;L'!$B$3</f>
        <v/>
      </c>
      <c r="H22" s="6" t="n">
        <v>0.172</v>
      </c>
      <c r="I22" s="5">
        <f>G22*H22</f>
        <v/>
      </c>
      <c r="J22" s="5">
        <f>(G22+I22)*0.012295642058762843</f>
        <v/>
      </c>
      <c r="K22" s="6" t="n">
        <v>0.18</v>
      </c>
      <c r="L22" s="5">
        <f>(G22+I22+J22)*K22</f>
        <v/>
      </c>
      <c r="M22">
        <f>IF(D22="Rack",1,0)</f>
        <v/>
      </c>
      <c r="N22">
        <f>IF(OR(D22="Rack",D22="Fastbrake"),1,0)</f>
        <v/>
      </c>
      <c r="O22" t="n">
        <v>25.854</v>
      </c>
    </row>
    <row r="23">
      <c r="A23" t="inlineStr">
        <is>
          <t>L7000083-900</t>
        </is>
      </c>
      <c r="B23" t="inlineStr">
        <is>
          <t>Wireless Communications Management Module, Gen 3 (WCM3)​</t>
        </is>
      </c>
      <c r="C23" t="inlineStr">
        <is>
          <t>TRAIN CONTROL</t>
        </is>
      </c>
      <c r="D23" s="3" t="inlineStr">
        <is>
          <t>Rack</t>
        </is>
      </c>
      <c r="E23" t="n">
        <v>2</v>
      </c>
      <c r="F23" s="4" t="n">
        <v>5000</v>
      </c>
      <c r="G23" s="5">
        <f>F23*E23*'Cenário P&amp;L'!$B$3</f>
        <v/>
      </c>
      <c r="H23" s="6" t="n">
        <v>0.13</v>
      </c>
      <c r="I23" s="5">
        <f>G23*H23</f>
        <v/>
      </c>
      <c r="J23" s="5">
        <f>(G23+I23)*0.012295642058762843</f>
        <v/>
      </c>
      <c r="K23" s="6" t="n">
        <v>0.18</v>
      </c>
      <c r="L23" s="5">
        <f>(G23+I23+J23)*K23</f>
        <v/>
      </c>
      <c r="M23">
        <f>IF(D23="Rack",1,0)</f>
        <v/>
      </c>
      <c r="N23">
        <f>IF(OR(D23="Rack",D23="Fastbrake"),1,0)</f>
        <v/>
      </c>
      <c r="O23" t="n">
        <v>4.536</v>
      </c>
    </row>
    <row r="24">
      <c r="A24" t="inlineStr">
        <is>
          <t>84A237085AEP121</t>
        </is>
      </c>
      <c r="B24" t="inlineStr">
        <is>
          <t>8 Slot ACC Chassis for MCA w/ i7 HPEAP and SMM2 Cards</t>
        </is>
      </c>
      <c r="C24" t="inlineStr">
        <is>
          <t>TRAIN CONTROL</t>
        </is>
      </c>
      <c r="D24" s="3" t="inlineStr">
        <is>
          <t>Rack</t>
        </is>
      </c>
      <c r="E24" t="n">
        <v>1</v>
      </c>
      <c r="F24" s="4" t="n">
        <v>8000</v>
      </c>
      <c r="G24" s="5">
        <f>F24*E24*'Cenário P&amp;L'!$B$3</f>
        <v/>
      </c>
      <c r="H24" s="6" t="n">
        <v>0.13</v>
      </c>
      <c r="I24" s="5">
        <f>G24*H24</f>
        <v/>
      </c>
      <c r="J24" s="5">
        <f>(G24+I24)*0.012295642058762843</f>
        <v/>
      </c>
      <c r="K24" s="6" t="n">
        <v>0.18</v>
      </c>
      <c r="L24" s="5">
        <f>(G24+I24+J24)*K24</f>
        <v/>
      </c>
      <c r="M24">
        <f>IF(D24="Rack",1,0)</f>
        <v/>
      </c>
      <c r="N24">
        <f>IF(OR(D24="Rack",D24="Fastbrake"),1,0)</f>
        <v/>
      </c>
      <c r="O24" t="n">
        <v>9.071999999999999</v>
      </c>
    </row>
    <row r="25">
      <c r="A25" t="inlineStr">
        <is>
          <t>17FM868B2</t>
        </is>
      </c>
      <c r="B25" t="inlineStr">
        <is>
          <t>SNIO</t>
        </is>
      </c>
      <c r="C25" t="inlineStr">
        <is>
          <t>MCA</t>
        </is>
      </c>
      <c r="D25" s="3" t="inlineStr">
        <is>
          <t>Rack</t>
        </is>
      </c>
      <c r="E25" t="n">
        <v>1</v>
      </c>
      <c r="F25" s="4" t="n">
        <v>4150.9559</v>
      </c>
      <c r="G25" s="5">
        <f>F25*E25*'Cenário P&amp;L'!$B$3</f>
        <v/>
      </c>
      <c r="H25" s="6" t="n">
        <v>0.172</v>
      </c>
      <c r="I25" s="5">
        <f>G25*H25</f>
        <v/>
      </c>
      <c r="J25" s="5">
        <f>(G25+I25)*0.012295642058762843</f>
        <v/>
      </c>
      <c r="K25" s="6" t="n">
        <v>0.18</v>
      </c>
      <c r="L25" s="5">
        <f>(G25+I25+J25)*K25</f>
        <v/>
      </c>
      <c r="M25">
        <f>IF(D25="Rack",1,0)</f>
        <v/>
      </c>
      <c r="N25">
        <f>IF(OR(D25="Rack",D25="Fastbrake"),1,0)</f>
        <v/>
      </c>
      <c r="O25" t="n">
        <v>4.99</v>
      </c>
    </row>
    <row r="26">
      <c r="A26" t="inlineStr">
        <is>
          <t>32613P</t>
        </is>
      </c>
      <c r="B26" t="inlineStr">
        <is>
          <t>KIT ETMS AXLE INTERFACE FOR WPart Number 29266P</t>
        </is>
      </c>
      <c r="C26" t="inlineStr">
        <is>
          <t>PTC</t>
        </is>
      </c>
      <c r="D26" s="3" t="inlineStr">
        <is>
          <t>Rack</t>
        </is>
      </c>
      <c r="E26" t="n">
        <v>1</v>
      </c>
      <c r="F26" s="4" t="n">
        <v>2981.71</v>
      </c>
      <c r="G26" s="5">
        <f>F26*E26*'Cenário P&amp;L'!$B$3</f>
        <v/>
      </c>
      <c r="H26" s="6" t="n">
        <v>0.13</v>
      </c>
      <c r="I26" s="5">
        <f>G26*H26</f>
        <v/>
      </c>
      <c r="J26" s="5">
        <f>(G26+I26)*0.012295642058762843</f>
        <v/>
      </c>
      <c r="K26" s="6" t="n">
        <v>0.18</v>
      </c>
      <c r="L26" s="5">
        <f>(G26+I26+J26)*K26</f>
        <v/>
      </c>
      <c r="M26">
        <f>IF(D26="Rack",1,0)</f>
        <v/>
      </c>
      <c r="N26">
        <f>IF(OR(D26="Rack",D26="Fastbrake"),1,0)</f>
        <v/>
      </c>
      <c r="O26" t="n">
        <v>4.536</v>
      </c>
    </row>
    <row r="27">
      <c r="A27" t="inlineStr">
        <is>
          <t>41A296352PTP306/41A296352PTP122</t>
        </is>
      </c>
      <c r="B27" t="inlineStr">
        <is>
          <t>Assembled Air Manifold (Contains 3 pressure sensors mounted in appropriate locations on Air Manifold.)</t>
        </is>
      </c>
      <c r="C27" t="inlineStr">
        <is>
          <t>PTC</t>
        </is>
      </c>
      <c r="D27" s="3" t="inlineStr">
        <is>
          <t>Rack</t>
        </is>
      </c>
      <c r="E27" t="n">
        <v>1</v>
      </c>
      <c r="F27" s="4" t="n">
        <v>595.7889</v>
      </c>
      <c r="G27" s="5">
        <f>F27*E27*'Cenário P&amp;L'!$B$3</f>
        <v/>
      </c>
      <c r="H27" s="6" t="n">
        <v>0.13</v>
      </c>
      <c r="I27" s="5">
        <f>G27*H27</f>
        <v/>
      </c>
      <c r="J27" s="5">
        <f>(G27+I27)*0.012295642058762843</f>
        <v/>
      </c>
      <c r="K27" s="6" t="n">
        <v>0.16</v>
      </c>
      <c r="L27" s="5">
        <f>(G27+I27+J27)*K27</f>
        <v/>
      </c>
      <c r="M27">
        <f>IF(D27="Rack",1,0)</f>
        <v/>
      </c>
      <c r="N27">
        <f>IF(OR(D27="Rack",D27="Fastbrake"),1,0)</f>
        <v/>
      </c>
      <c r="O27" t="n">
        <v>5.897</v>
      </c>
    </row>
    <row r="28">
      <c r="A28" t="inlineStr">
        <is>
          <t>32447P</t>
        </is>
      </c>
      <c r="B28" t="inlineStr">
        <is>
          <t>ASY CABLE WHEEL TACH AC EVO/SD70 ACE</t>
        </is>
      </c>
      <c r="C28" t="inlineStr">
        <is>
          <t>PTC</t>
        </is>
      </c>
      <c r="D28" s="3" t="inlineStr">
        <is>
          <t>Rack</t>
        </is>
      </c>
      <c r="E28" t="n">
        <v>1</v>
      </c>
      <c r="F28" s="4" t="n">
        <v>411.22</v>
      </c>
      <c r="G28" s="5">
        <f>F28*E28*'Cenário P&amp;L'!$B$3</f>
        <v/>
      </c>
      <c r="H28" s="6" t="n">
        <v>0.13</v>
      </c>
      <c r="I28" s="5">
        <f>G28*H28</f>
        <v/>
      </c>
      <c r="J28" s="5">
        <f>(G28+I28)*0.012295642058762843</f>
        <v/>
      </c>
      <c r="K28" s="6" t="n">
        <v>0.18</v>
      </c>
      <c r="L28" s="5">
        <f>(G28+I28+J28)*K28</f>
        <v/>
      </c>
      <c r="M28">
        <f>IF(D28="Rack",1,0)</f>
        <v/>
      </c>
      <c r="N28">
        <f>IF(OR(D28="Rack",D28="Fastbrake"),1,0)</f>
        <v/>
      </c>
    </row>
    <row r="29">
      <c r="A29" t="inlineStr">
        <is>
          <t>41A296352PTP10/319/34</t>
        </is>
      </c>
      <c r="B29" t="inlineStr">
        <is>
          <t>VALVE Part NumberEUMATIC NC/CO (Penalty Magnet Valve) Graham-White 812-142</t>
        </is>
      </c>
      <c r="C29" t="inlineStr">
        <is>
          <t>PTC</t>
        </is>
      </c>
      <c r="D29" s="3" t="inlineStr">
        <is>
          <t>Rack</t>
        </is>
      </c>
      <c r="E29" t="n">
        <v>1</v>
      </c>
      <c r="F29" s="4" t="n">
        <v>404.6239</v>
      </c>
      <c r="G29" s="5">
        <f>F29*E29*'Cenário P&amp;L'!$B$3</f>
        <v/>
      </c>
      <c r="H29" s="6" t="n">
        <v>0.13</v>
      </c>
      <c r="I29" s="5">
        <f>G29*H29</f>
        <v/>
      </c>
      <c r="J29" s="5">
        <f>(G29+I29)*0.012295642058762843</f>
        <v/>
      </c>
      <c r="K29" s="6" t="n">
        <v>0.18</v>
      </c>
      <c r="L29" s="5">
        <f>(G29+I29+J29)*K29</f>
        <v/>
      </c>
      <c r="M29">
        <f>IF(D29="Rack",1,0)</f>
        <v/>
      </c>
      <c r="N29">
        <f>IF(OR(D29="Rack",D29="Fastbrake"),1,0)</f>
        <v/>
      </c>
    </row>
    <row r="30">
      <c r="A30" t="inlineStr">
        <is>
          <t>84A231123CSP30</t>
        </is>
      </c>
      <c r="B30" t="inlineStr">
        <is>
          <t>Axle Tac - WRE Part Number: 29266P</t>
        </is>
      </c>
      <c r="C30" t="inlineStr">
        <is>
          <t>PTC</t>
        </is>
      </c>
      <c r="D30" s="3" t="inlineStr">
        <is>
          <t>Rack</t>
        </is>
      </c>
      <c r="E30" t="n">
        <v>1</v>
      </c>
      <c r="F30" s="4" t="n">
        <v>205</v>
      </c>
      <c r="G30" s="5">
        <f>F30*E30*'Cenário P&amp;L'!$B$3</f>
        <v/>
      </c>
      <c r="H30" s="6" t="n">
        <v>0.13</v>
      </c>
      <c r="I30" s="5">
        <f>G30*H30</f>
        <v/>
      </c>
      <c r="J30" s="5">
        <f>(G30+I30)*0.012295642058762843</f>
        <v/>
      </c>
      <c r="K30" s="6" t="n">
        <v>0.18</v>
      </c>
      <c r="L30" s="5">
        <f>(G30+I30+J30)*K30</f>
        <v/>
      </c>
      <c r="M30">
        <f>IF(D30="Rack",1,0)</f>
        <v/>
      </c>
      <c r="N30">
        <f>IF(OR(D30="Rack",D30="Fastbrake"),1,0)</f>
        <v/>
      </c>
    </row>
    <row r="31">
      <c r="A31" t="inlineStr">
        <is>
          <t>84A207079ABP1</t>
        </is>
      </c>
      <c r="B31" t="inlineStr">
        <is>
          <t>41A313392DCP18 alternative 300" /</t>
        </is>
      </c>
      <c r="C31" t="inlineStr">
        <is>
          <t>Wiring</t>
        </is>
      </c>
      <c r="D31" s="3" t="inlineStr">
        <is>
          <t>Rack</t>
        </is>
      </c>
      <c r="E31" t="n">
        <v>25</v>
      </c>
      <c r="F31" s="4" t="n">
        <v>8.118</v>
      </c>
      <c r="G31" s="5">
        <f>F31*E31*'Cenário P&amp;L'!$B$3</f>
        <v/>
      </c>
      <c r="H31" s="6" t="n">
        <v>0.13</v>
      </c>
      <c r="I31" s="5">
        <f>G31*H31</f>
        <v/>
      </c>
      <c r="J31" s="5">
        <f>(G31+I31)*0.012295642058762843</f>
        <v/>
      </c>
      <c r="K31" s="6" t="n">
        <v>0.144</v>
      </c>
      <c r="L31" s="5">
        <f>(G31+I31+J31)*K31</f>
        <v/>
      </c>
      <c r="M31">
        <f>IF(D31="Rack",1,0)</f>
        <v/>
      </c>
      <c r="N31">
        <f>IF(OR(D31="Rack",D31="Fastbrake"),1,0)</f>
        <v/>
      </c>
      <c r="O31" t="n">
        <v>5.675</v>
      </c>
    </row>
    <row r="32">
      <c r="A32" t="inlineStr">
        <is>
          <t>41A216641AMP126</t>
        </is>
      </c>
      <c r="B32" t="inlineStr">
        <is>
          <t>NIO1D CONNECTOR BACKSHELL</t>
        </is>
      </c>
      <c r="C32" t="inlineStr">
        <is>
          <t>Wiring</t>
        </is>
      </c>
      <c r="D32" s="3" t="inlineStr">
        <is>
          <t>Rack</t>
        </is>
      </c>
      <c r="E32" t="n">
        <v>3</v>
      </c>
      <c r="F32" s="4" t="n">
        <v>29.9096</v>
      </c>
      <c r="G32" s="5">
        <f>F32*E32*'Cenário P&amp;L'!$B$3</f>
        <v/>
      </c>
      <c r="H32" s="6" t="n">
        <v>0.13</v>
      </c>
      <c r="I32" s="5">
        <f>G32*H32</f>
        <v/>
      </c>
      <c r="J32" s="5">
        <f>(G32+I32)*0.012295642058762843</f>
        <v/>
      </c>
      <c r="K32" s="6" t="n">
        <v>0.18</v>
      </c>
      <c r="L32" s="5">
        <f>(G32+I32+J32)*K32</f>
        <v/>
      </c>
      <c r="M32">
        <f>IF(D32="Rack",1,0)</f>
        <v/>
      </c>
      <c r="N32">
        <f>IF(OR(D32="Rack",D32="Fastbrake"),1,0)</f>
        <v/>
      </c>
      <c r="O32" t="n">
        <v>0</v>
      </c>
    </row>
    <row r="33">
      <c r="A33" t="inlineStr">
        <is>
          <t>17 pin MS3106-20-29F</t>
        </is>
      </c>
      <c r="B33" t="inlineStr">
        <is>
          <t>Head of Train Device - Padom - J2 Connector</t>
        </is>
      </c>
      <c r="C33" t="inlineStr">
        <is>
          <t>Wiring</t>
        </is>
      </c>
      <c r="D33" s="3" t="inlineStr">
        <is>
          <t>Rack</t>
        </is>
      </c>
      <c r="E33" t="n">
        <v>1</v>
      </c>
      <c r="F33" s="4" t="n">
        <v>79.83</v>
      </c>
      <c r="G33" s="5">
        <f>F33*E33*'Cenário P&amp;L'!$B$3</f>
        <v/>
      </c>
      <c r="H33" s="6" t="n">
        <v>0.13</v>
      </c>
      <c r="I33" s="5">
        <f>G33*H33</f>
        <v/>
      </c>
      <c r="J33" s="5">
        <f>(G33+I33)*0.012295642058762843</f>
        <v/>
      </c>
      <c r="K33" s="6" t="n">
        <v>0.18</v>
      </c>
      <c r="L33" s="5">
        <f>(G33+I33+J33)*K33</f>
        <v/>
      </c>
      <c r="M33">
        <f>IF(D33="Rack",1,0)</f>
        <v/>
      </c>
      <c r="N33">
        <f>IF(OR(D33="Rack",D33="Fastbrake"),1,0)</f>
        <v/>
      </c>
    </row>
    <row r="34">
      <c r="A34" t="inlineStr">
        <is>
          <t>41A216641AMP125</t>
        </is>
      </c>
      <c r="B34" t="inlineStr">
        <is>
          <t>NIO1A CONNECTOR BACKSHELL</t>
        </is>
      </c>
      <c r="C34" t="inlineStr">
        <is>
          <t>Wiring</t>
        </is>
      </c>
      <c r="D34" s="3" t="inlineStr">
        <is>
          <t>Rack</t>
        </is>
      </c>
      <c r="E34" t="n">
        <v>3</v>
      </c>
      <c r="F34" s="4" t="n">
        <v>24.1998</v>
      </c>
      <c r="G34" s="5">
        <f>F34*E34*'Cenário P&amp;L'!$B$3</f>
        <v/>
      </c>
      <c r="H34" s="6" t="n">
        <v>0.13</v>
      </c>
      <c r="I34" s="5">
        <f>G34*H34</f>
        <v/>
      </c>
      <c r="J34" s="5">
        <f>(G34+I34)*0.012295642058762843</f>
        <v/>
      </c>
      <c r="K34" s="6" t="n">
        <v>0.18</v>
      </c>
      <c r="L34" s="5">
        <f>(G34+I34+J34)*K34</f>
        <v/>
      </c>
      <c r="M34">
        <f>IF(D34="Rack",1,0)</f>
        <v/>
      </c>
      <c r="N34">
        <f>IF(OR(D34="Rack",D34="Fastbrake"),1,0)</f>
        <v/>
      </c>
      <c r="O34" t="n">
        <v>0.015</v>
      </c>
    </row>
    <row r="35">
      <c r="A35" t="inlineStr">
        <is>
          <t>5088-7000-P4611-0000000-ND‎</t>
        </is>
      </c>
      <c r="B35" t="inlineStr">
        <is>
          <t>POE Power Connector on SMM2 (M12 FEMALE 0 L-CODED FIELD-WIREA)</t>
        </is>
      </c>
      <c r="C35" t="inlineStr">
        <is>
          <t>TRAIN CONTROL</t>
        </is>
      </c>
      <c r="D35" s="3" t="inlineStr">
        <is>
          <t>Rack</t>
        </is>
      </c>
      <c r="E35" t="n">
        <v>1</v>
      </c>
      <c r="F35" s="4" t="n">
        <v>72.41</v>
      </c>
      <c r="G35" s="5">
        <f>F35*E35*'Cenário P&amp;L'!$B$3</f>
        <v/>
      </c>
      <c r="H35" s="6" t="n">
        <v>0.13</v>
      </c>
      <c r="I35" s="5">
        <f>G35*H35</f>
        <v/>
      </c>
      <c r="J35" s="5">
        <f>(G35+I35)*0.012295642058762843</f>
        <v/>
      </c>
      <c r="K35" s="6" t="n">
        <v>0.18</v>
      </c>
      <c r="L35" s="5">
        <f>(G35+I35+J35)*K35</f>
        <v/>
      </c>
      <c r="M35">
        <f>IF(D35="Rack",1,0)</f>
        <v/>
      </c>
      <c r="N35">
        <f>IF(OR(D35="Rack",D35="Fastbrake"),1,0)</f>
        <v/>
      </c>
    </row>
    <row r="36">
      <c r="A36" t="inlineStr">
        <is>
          <t>41A296352PTP67</t>
        </is>
      </c>
      <c r="B36" t="inlineStr">
        <is>
          <t>CABLE CSX 12V P WR CBL</t>
        </is>
      </c>
      <c r="C36" t="inlineStr">
        <is>
          <t>MCA</t>
        </is>
      </c>
      <c r="D36" s="3" t="inlineStr">
        <is>
          <t>Rack</t>
        </is>
      </c>
      <c r="E36" t="n">
        <v>1</v>
      </c>
      <c r="F36" s="4" t="n">
        <v>71.94</v>
      </c>
      <c r="G36" s="5">
        <f>F36*E36*'Cenário P&amp;L'!$B$3</f>
        <v/>
      </c>
      <c r="H36" s="6" t="n">
        <v>0.13</v>
      </c>
      <c r="I36" s="5">
        <f>G36*H36</f>
        <v/>
      </c>
      <c r="J36" s="5">
        <f>(G36+I36)*0.012295642058762843</f>
        <v/>
      </c>
      <c r="K36" s="6" t="n">
        <v>0.18</v>
      </c>
      <c r="L36" s="5">
        <f>(G36+I36+J36)*K36</f>
        <v/>
      </c>
      <c r="M36">
        <f>IF(D36="Rack",1,0)</f>
        <v/>
      </c>
      <c r="N36">
        <f>IF(OR(D36="Rack",D36="Fastbrake"),1,0)</f>
        <v/>
      </c>
    </row>
    <row r="37">
      <c r="A37" t="inlineStr">
        <is>
          <t>41A296352PTP69</t>
        </is>
      </c>
      <c r="B37" t="inlineStr">
        <is>
          <t>CABLE CSX 74V P WR CBL</t>
        </is>
      </c>
      <c r="C37" t="inlineStr">
        <is>
          <t>MCA</t>
        </is>
      </c>
      <c r="D37" s="3" t="inlineStr">
        <is>
          <t>Rack</t>
        </is>
      </c>
      <c r="E37" t="n">
        <v>1</v>
      </c>
      <c r="F37" s="4" t="n">
        <v>71.94</v>
      </c>
      <c r="G37" s="5">
        <f>F37*E37*'Cenário P&amp;L'!$B$3</f>
        <v/>
      </c>
      <c r="H37" s="6" t="n">
        <v>0.13</v>
      </c>
      <c r="I37" s="5">
        <f>G37*H37</f>
        <v/>
      </c>
      <c r="J37" s="5">
        <f>(G37+I37)*0.012295642058762843</f>
        <v/>
      </c>
      <c r="K37" s="6" t="n">
        <v>0.18</v>
      </c>
      <c r="L37" s="5">
        <f>(G37+I37+J37)*K37</f>
        <v/>
      </c>
      <c r="M37">
        <f>IF(D37="Rack",1,0)</f>
        <v/>
      </c>
      <c r="N37">
        <f>IF(OR(D37="Rack",D37="Fastbrake"),1,0)</f>
        <v/>
      </c>
    </row>
    <row r="38">
      <c r="A38" t="inlineStr">
        <is>
          <t>41A216641AMP93</t>
        </is>
      </c>
      <c r="B38" t="inlineStr">
        <is>
          <t>NIO1E CONNECTOR</t>
        </is>
      </c>
      <c r="C38" t="inlineStr">
        <is>
          <t>Wiring</t>
        </is>
      </c>
      <c r="D38" s="3" t="inlineStr">
        <is>
          <t>Rack</t>
        </is>
      </c>
      <c r="E38" t="n">
        <v>3</v>
      </c>
      <c r="F38" s="4" t="n">
        <v>23.9499</v>
      </c>
      <c r="G38" s="5">
        <f>F38*E38*'Cenário P&amp;L'!$B$3</f>
        <v/>
      </c>
      <c r="H38" s="6" t="n">
        <v>0.13</v>
      </c>
      <c r="I38" s="5">
        <f>G38*H38</f>
        <v/>
      </c>
      <c r="J38" s="5">
        <f>(G38+I38)*0.012295642058762843</f>
        <v/>
      </c>
      <c r="K38" s="6" t="n">
        <v>0.18</v>
      </c>
      <c r="L38" s="5">
        <f>(G38+I38+J38)*K38</f>
        <v/>
      </c>
      <c r="M38">
        <f>IF(D38="Rack",1,0)</f>
        <v/>
      </c>
      <c r="N38">
        <f>IF(OR(D38="Rack",D38="Fastbrake"),1,0)</f>
        <v/>
      </c>
      <c r="O38" t="n">
        <v>0.162</v>
      </c>
    </row>
    <row r="39">
      <c r="A39" t="inlineStr">
        <is>
          <t>41A216641AMP103</t>
        </is>
      </c>
      <c r="B39" t="inlineStr">
        <is>
          <t>NIO1D CONNECTOR</t>
        </is>
      </c>
      <c r="C39" t="inlineStr">
        <is>
          <t>Wiring</t>
        </is>
      </c>
      <c r="D39" s="3" t="inlineStr">
        <is>
          <t>Rack</t>
        </is>
      </c>
      <c r="E39" t="n">
        <v>3</v>
      </c>
      <c r="F39" s="4" t="n">
        <v>21.2198</v>
      </c>
      <c r="G39" s="5">
        <f>F39*E39*'Cenário P&amp;L'!$B$3</f>
        <v/>
      </c>
      <c r="H39" s="6" t="n">
        <v>0.13</v>
      </c>
      <c r="I39" s="5">
        <f>G39*H39</f>
        <v/>
      </c>
      <c r="J39" s="5">
        <f>(G39+I39)*0.012295642058762843</f>
        <v/>
      </c>
      <c r="K39" s="6" t="n">
        <v>0.18</v>
      </c>
      <c r="L39" s="5">
        <f>(G39+I39+J39)*K39</f>
        <v/>
      </c>
      <c r="M39">
        <f>IF(D39="Rack",1,0)</f>
        <v/>
      </c>
      <c r="N39">
        <f>IF(OR(D39="Rack",D39="Fastbrake"),1,0)</f>
        <v/>
      </c>
      <c r="O39" t="n">
        <v>0.135</v>
      </c>
    </row>
    <row r="40">
      <c r="A40" t="inlineStr">
        <is>
          <t>16246P</t>
        </is>
      </c>
      <c r="B40" t="inlineStr">
        <is>
          <t>Flexi-Axle - WRE Part Number: 16246P</t>
        </is>
      </c>
      <c r="C40" t="inlineStr">
        <is>
          <t>PTC</t>
        </is>
      </c>
      <c r="D40" s="3" t="inlineStr">
        <is>
          <t>Rack</t>
        </is>
      </c>
      <c r="E40" t="n">
        <v>1</v>
      </c>
      <c r="F40" s="4" t="n">
        <v>59.75</v>
      </c>
      <c r="G40" s="5">
        <f>F40*E40*'Cenário P&amp;L'!$B$3</f>
        <v/>
      </c>
      <c r="H40" s="6" t="n">
        <v>0.13</v>
      </c>
      <c r="I40" s="5">
        <f>G40*H40</f>
        <v/>
      </c>
      <c r="J40" s="5">
        <f>(G40+I40)*0.012295642058762843</f>
        <v/>
      </c>
      <c r="K40" s="6" t="n">
        <v>0.18</v>
      </c>
      <c r="L40" s="5">
        <f>(G40+I40+J40)*K40</f>
        <v/>
      </c>
      <c r="M40">
        <f>IF(D40="Rack",1,0)</f>
        <v/>
      </c>
      <c r="N40">
        <f>IF(OR(D40="Rack",D40="Fastbrake"),1,0)</f>
        <v/>
      </c>
    </row>
    <row r="41">
      <c r="A41" t="inlineStr">
        <is>
          <t>41A216641AMP99</t>
        </is>
      </c>
      <c r="B41" t="inlineStr">
        <is>
          <t>NIO1B CONNECTOR</t>
        </is>
      </c>
      <c r="C41" t="inlineStr">
        <is>
          <t>Wiring</t>
        </is>
      </c>
      <c r="D41" s="3" t="inlineStr">
        <is>
          <t>Rack</t>
        </is>
      </c>
      <c r="E41" t="n">
        <v>3</v>
      </c>
      <c r="F41" s="4" t="n">
        <v>19.67</v>
      </c>
      <c r="G41" s="5">
        <f>F41*E41*'Cenário P&amp;L'!$B$3</f>
        <v/>
      </c>
      <c r="H41" s="6" t="n">
        <v>0.13</v>
      </c>
      <c r="I41" s="5">
        <f>G41*H41</f>
        <v/>
      </c>
      <c r="J41" s="5">
        <f>(G41+I41)*0.012295642058762843</f>
        <v/>
      </c>
      <c r="K41" s="6" t="n">
        <v>0.18</v>
      </c>
      <c r="L41" s="5">
        <f>(G41+I41+J41)*K41</f>
        <v/>
      </c>
      <c r="M41">
        <f>IF(D41="Rack",1,0)</f>
        <v/>
      </c>
      <c r="N41">
        <f>IF(OR(D41="Rack",D41="Fastbrake"),1,0)</f>
        <v/>
      </c>
      <c r="O41" t="n">
        <v>0</v>
      </c>
    </row>
    <row r="42">
      <c r="A42" t="inlineStr">
        <is>
          <t>41A216641AMP123</t>
        </is>
      </c>
      <c r="B42" t="inlineStr">
        <is>
          <t>NIO1F CONNECTOR BACKSHELL</t>
        </is>
      </c>
      <c r="C42" t="inlineStr">
        <is>
          <t>Wiring</t>
        </is>
      </c>
      <c r="D42" s="3" t="inlineStr">
        <is>
          <t>Rack</t>
        </is>
      </c>
      <c r="E42" t="n">
        <v>3</v>
      </c>
      <c r="F42" s="4" t="n">
        <v>19.5574</v>
      </c>
      <c r="G42" s="5">
        <f>F42*E42*'Cenário P&amp;L'!$B$3</f>
        <v/>
      </c>
      <c r="H42" s="6" t="n">
        <v>0.13</v>
      </c>
      <c r="I42" s="5">
        <f>G42*H42</f>
        <v/>
      </c>
      <c r="J42" s="5">
        <f>(G42+I42)*0.012295642058762843</f>
        <v/>
      </c>
      <c r="K42" s="6" t="n">
        <v>0.18</v>
      </c>
      <c r="L42" s="5">
        <f>(G42+I42+J42)*K42</f>
        <v/>
      </c>
      <c r="M42">
        <f>IF(D42="Rack",1,0)</f>
        <v/>
      </c>
      <c r="N42">
        <f>IF(OR(D42="Rack",D42="Fastbrake"),1,0)</f>
        <v/>
      </c>
      <c r="O42" t="n">
        <v>0.06</v>
      </c>
    </row>
    <row r="43">
      <c r="A43" t="inlineStr">
        <is>
          <t>41A216641AMP100</t>
        </is>
      </c>
      <c r="B43" t="inlineStr">
        <is>
          <t>NIO1C CONNECTOR</t>
        </is>
      </c>
      <c r="C43" t="inlineStr">
        <is>
          <t>Wiring</t>
        </is>
      </c>
      <c r="D43" s="3" t="inlineStr">
        <is>
          <t>Rack</t>
        </is>
      </c>
      <c r="E43" t="n">
        <v>3</v>
      </c>
      <c r="F43" s="4" t="n">
        <v>19.173</v>
      </c>
      <c r="G43" s="5">
        <f>F43*E43*'Cenário P&amp;L'!$B$3</f>
        <v/>
      </c>
      <c r="H43" s="6" t="n">
        <v>0.13</v>
      </c>
      <c r="I43" s="5">
        <f>G43*H43</f>
        <v/>
      </c>
      <c r="J43" s="5">
        <f>(G43+I43)*0.012295642058762843</f>
        <v/>
      </c>
      <c r="K43" s="6" t="n">
        <v>0.18</v>
      </c>
      <c r="L43" s="5">
        <f>(G43+I43+J43)*K43</f>
        <v/>
      </c>
      <c r="M43">
        <f>IF(D43="Rack",1,0)</f>
        <v/>
      </c>
      <c r="N43">
        <f>IF(OR(D43="Rack",D43="Fastbrake"),1,0)</f>
        <v/>
      </c>
      <c r="O43" t="n">
        <v>0</v>
      </c>
    </row>
    <row r="44">
      <c r="A44" t="inlineStr">
        <is>
          <t>41A216641AMP86</t>
        </is>
      </c>
      <c r="B44" t="inlineStr">
        <is>
          <t>NIO1F CONNECTOR</t>
        </is>
      </c>
      <c r="C44" t="inlineStr">
        <is>
          <t>Wiring</t>
        </is>
      </c>
      <c r="D44" s="3" t="inlineStr">
        <is>
          <t>Rack</t>
        </is>
      </c>
      <c r="E44" t="n">
        <v>3</v>
      </c>
      <c r="F44" s="4" t="n">
        <v>18.9357</v>
      </c>
      <c r="G44" s="5">
        <f>F44*E44*'Cenário P&amp;L'!$B$3</f>
        <v/>
      </c>
      <c r="H44" s="6" t="n">
        <v>0.13</v>
      </c>
      <c r="I44" s="5">
        <f>G44*H44</f>
        <v/>
      </c>
      <c r="J44" s="5">
        <f>(G44+I44)*0.012295642058762843</f>
        <v/>
      </c>
      <c r="K44" s="6" t="n">
        <v>0.18</v>
      </c>
      <c r="L44" s="5">
        <f>(G44+I44+J44)*K44</f>
        <v/>
      </c>
      <c r="M44">
        <f>IF(D44="Rack",1,0)</f>
        <v/>
      </c>
      <c r="N44">
        <f>IF(OR(D44="Rack",D44="Fastbrake"),1,0)</f>
        <v/>
      </c>
      <c r="O44" t="n">
        <v>0.096</v>
      </c>
    </row>
    <row r="45">
      <c r="A45" t="inlineStr">
        <is>
          <t>41A216641AMP98</t>
        </is>
      </c>
      <c r="B45" t="inlineStr">
        <is>
          <t>NIO1A CONNECTOR</t>
        </is>
      </c>
      <c r="C45" t="inlineStr">
        <is>
          <t>Wiring</t>
        </is>
      </c>
      <c r="D45" s="3" t="inlineStr">
        <is>
          <t>Rack</t>
        </is>
      </c>
      <c r="E45" t="n">
        <v>3</v>
      </c>
      <c r="F45" s="4" t="n">
        <v>15.455</v>
      </c>
      <c r="G45" s="5">
        <f>F45*E45*'Cenário P&amp;L'!$B$3</f>
        <v/>
      </c>
      <c r="H45" s="6" t="n">
        <v>0.13</v>
      </c>
      <c r="I45" s="5">
        <f>G45*H45</f>
        <v/>
      </c>
      <c r="J45" s="5">
        <f>(G45+I45)*0.012295642058762843</f>
        <v/>
      </c>
      <c r="K45" s="6" t="n">
        <v>0.18</v>
      </c>
      <c r="L45" s="5">
        <f>(G45+I45+J45)*K45</f>
        <v/>
      </c>
      <c r="M45">
        <f>IF(D45="Rack",1,0)</f>
        <v/>
      </c>
      <c r="N45">
        <f>IF(OR(D45="Rack",D45="Fastbrake"),1,0)</f>
        <v/>
      </c>
      <c r="O45" t="n">
        <v>0.159</v>
      </c>
    </row>
    <row r="46">
      <c r="A46" t="inlineStr">
        <is>
          <t>41A216641ABP153</t>
        </is>
      </c>
      <c r="B46" t="inlineStr">
        <is>
          <t>HELPER'S RADIO SPEAKER  CONNECTOR</t>
        </is>
      </c>
      <c r="C46" t="inlineStr">
        <is>
          <t>Wiring</t>
        </is>
      </c>
      <c r="D46" s="3" t="inlineStr">
        <is>
          <t>Rack</t>
        </is>
      </c>
      <c r="E46" t="n">
        <v>1</v>
      </c>
      <c r="F46" s="4" t="n">
        <v>45.7356</v>
      </c>
      <c r="G46" s="5">
        <f>F46*E46*'Cenário P&amp;L'!$B$3</f>
        <v/>
      </c>
      <c r="H46" s="6" t="n">
        <v>0.13</v>
      </c>
      <c r="I46" s="5">
        <f>G46*H46</f>
        <v/>
      </c>
      <c r="J46" s="5">
        <f>(G46+I46)*0.012295642058762843</f>
        <v/>
      </c>
      <c r="K46" s="6" t="n">
        <v>0.18</v>
      </c>
      <c r="L46" s="5">
        <f>(G46+I46+J46)*K46</f>
        <v/>
      </c>
      <c r="M46">
        <f>IF(D46="Rack",1,0)</f>
        <v/>
      </c>
      <c r="N46">
        <f>IF(OR(D46="Rack",D46="Fastbrake"),1,0)</f>
        <v/>
      </c>
    </row>
    <row r="47">
      <c r="A47" t="inlineStr">
        <is>
          <t>5373-219</t>
        </is>
      </c>
      <c r="B47" t="inlineStr">
        <is>
          <t>CONNECTOR, ELECTRICAL</t>
        </is>
      </c>
      <c r="C47" t="inlineStr">
        <is>
          <t>Wiring</t>
        </is>
      </c>
      <c r="D47" s="3" t="inlineStr">
        <is>
          <t>Rack</t>
        </is>
      </c>
      <c r="E47" t="n">
        <v>1</v>
      </c>
      <c r="F47" s="4" t="n">
        <v>13.66</v>
      </c>
      <c r="G47" s="5">
        <f>F47*E47*'Cenário P&amp;L'!$B$3</f>
        <v/>
      </c>
      <c r="H47" s="6" t="n">
        <v>0.13</v>
      </c>
      <c r="I47" s="5">
        <f>G47*H47</f>
        <v/>
      </c>
      <c r="J47" s="5">
        <f>(G47+I47)*0.012295642058762843</f>
        <v/>
      </c>
      <c r="K47" s="6" t="n">
        <v>0.18</v>
      </c>
      <c r="L47" s="5">
        <f>(G47+I47+J47)*K47</f>
        <v/>
      </c>
      <c r="M47">
        <f>IF(D47="Rack",1,0)</f>
        <v/>
      </c>
      <c r="N47">
        <f>IF(OR(D47="Rack",D47="Fastbrake"),1,0)</f>
        <v/>
      </c>
    </row>
    <row r="48">
      <c r="A48" t="inlineStr">
        <is>
          <t>41A271471P24/38</t>
        </is>
      </c>
      <c r="B48" t="inlineStr">
        <is>
          <t>HPEAP DISCRETE CONNECTOR Backshell</t>
        </is>
      </c>
      <c r="C48" t="inlineStr">
        <is>
          <t>Wiring</t>
        </is>
      </c>
      <c r="D48" s="3" t="inlineStr">
        <is>
          <t>Rack</t>
        </is>
      </c>
      <c r="E48" t="n">
        <v>1</v>
      </c>
      <c r="F48" s="4" t="n">
        <v>1.9294</v>
      </c>
      <c r="G48" s="5">
        <f>F48*E48*'Cenário P&amp;L'!$B$3</f>
        <v/>
      </c>
      <c r="H48" s="6" t="n">
        <v>0.13</v>
      </c>
      <c r="I48" s="5">
        <f>G48*H48</f>
        <v/>
      </c>
      <c r="J48" s="5">
        <f>(G48+I48)*0.012295642058762843</f>
        <v/>
      </c>
      <c r="K48" s="6" t="n">
        <v>0.16</v>
      </c>
      <c r="L48" s="5">
        <f>(G48+I48+J48)*K48</f>
        <v/>
      </c>
      <c r="M48">
        <f>IF(D48="Rack",1,0)</f>
        <v/>
      </c>
      <c r="N48">
        <f>IF(OR(D48="Rack",D48="Fastbrake"),1,0)</f>
        <v/>
      </c>
      <c r="O48" t="n">
        <v>0.023</v>
      </c>
    </row>
    <row r="49">
      <c r="A49" t="inlineStr">
        <is>
          <t>41A296352DNP73</t>
        </is>
      </c>
      <c r="B49" t="inlineStr">
        <is>
          <t>CABLE: GROUND S TRAP</t>
        </is>
      </c>
      <c r="C49" t="inlineStr">
        <is>
          <t>MCA</t>
        </is>
      </c>
      <c r="D49" s="3" t="inlineStr">
        <is>
          <t>Rack</t>
        </is>
      </c>
      <c r="E49" t="n">
        <v>1</v>
      </c>
      <c r="F49" s="4" t="n">
        <v>0.01</v>
      </c>
      <c r="G49" s="5">
        <f>F49*E49*'Cenário P&amp;L'!$B$3</f>
        <v/>
      </c>
      <c r="H49" s="6" t="n">
        <v>0.13</v>
      </c>
      <c r="I49" s="5">
        <f>G49*H49</f>
        <v/>
      </c>
      <c r="J49" s="5">
        <f>(G49+I49)*0.012295642058762843</f>
        <v/>
      </c>
      <c r="K49" s="6" t="n">
        <v>0.18</v>
      </c>
      <c r="L49" s="5">
        <f>(G49+I49+J49)*K49</f>
        <v/>
      </c>
      <c r="M49">
        <f>IF(D49="Rack",1,0)</f>
        <v/>
      </c>
      <c r="N49">
        <f>IF(OR(D49="Rack",D49="Fastbrake"),1,0)</f>
        <v/>
      </c>
    </row>
    <row r="50">
      <c r="A50" t="inlineStr">
        <is>
          <t>41A296352DNP96</t>
        </is>
      </c>
      <c r="B50" t="inlineStr">
        <is>
          <t>Cable: CRM Ethernet Switch to ACC</t>
        </is>
      </c>
      <c r="C50" t="inlineStr">
        <is>
          <t>MCA</t>
        </is>
      </c>
      <c r="D50" s="3" t="inlineStr">
        <is>
          <t>Rack</t>
        </is>
      </c>
      <c r="E50" t="n">
        <v>1</v>
      </c>
      <c r="F50" s="4" t="n">
        <v>0.01</v>
      </c>
      <c r="G50" s="5">
        <f>F50*E50*'Cenário P&amp;L'!$B$3</f>
        <v/>
      </c>
      <c r="H50" s="6" t="n">
        <v>0.13</v>
      </c>
      <c r="I50" s="5">
        <f>G50*H50</f>
        <v/>
      </c>
      <c r="J50" s="5">
        <f>(G50+I50)*0.012295642058762843</f>
        <v/>
      </c>
      <c r="K50" s="6" t="n">
        <v>0.18</v>
      </c>
      <c r="L50" s="5">
        <f>(G50+I50+J50)*K50</f>
        <v/>
      </c>
      <c r="M50">
        <f>IF(D50="Rack",1,0)</f>
        <v/>
      </c>
      <c r="N50">
        <f>IF(OR(D50="Rack",D50="Fastbrake"),1,0)</f>
        <v/>
      </c>
    </row>
  </sheetData>
  <autoFilter ref="A3:O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7" t="inlineStr">
        <is>
          <t>PATHFINDER - CENÁRIO EX-TARIFÁRIO DO RACK</t>
        </is>
      </c>
    </row>
    <row r="2">
      <c r="A2" s="8" t="inlineStr">
        <is>
          <t>PARÂMETROS</t>
        </is>
      </c>
    </row>
    <row r="3">
      <c r="A3" t="inlineStr">
        <is>
          <t>Câmbio (USD-&gt;BRL)</t>
        </is>
      </c>
      <c r="B3" s="9" t="n">
        <v>5.1</v>
      </c>
    </row>
    <row r="4">
      <c r="A4" t="inlineStr">
        <is>
          <t>Total Deal Margin (TDM)</t>
        </is>
      </c>
      <c r="B4" s="10" t="n">
        <v>0.45</v>
      </c>
    </row>
    <row r="5">
      <c r="A5" t="inlineStr">
        <is>
          <t>II % com ex-tarifário</t>
        </is>
      </c>
      <c r="B5" s="10" t="n">
        <v>0</v>
      </c>
    </row>
    <row r="6">
      <c r="A6" t="inlineStr">
        <is>
          <t>PIS/COFINS (blended)</t>
        </is>
      </c>
      <c r="B6" s="10" t="n">
        <v>0.1006</v>
      </c>
    </row>
    <row r="7">
      <c r="A7" t="inlineStr">
        <is>
          <t>ICMS</t>
        </is>
      </c>
      <c r="B7" s="10" t="n">
        <v>0.18</v>
      </c>
    </row>
    <row r="8">
      <c r="A8" t="inlineStr">
        <is>
          <t>IPI (blended)</t>
        </is>
      </c>
      <c r="B8" s="10" t="n">
        <v>0.0969</v>
      </c>
    </row>
    <row r="9">
      <c r="A9" t="inlineStr">
        <is>
          <t>Frete nacional (cotação real, fixo)</t>
        </is>
      </c>
      <c r="B9" s="11" t="n">
        <v>21753.10472534922</v>
      </c>
    </row>
    <row r="10">
      <c r="A10" t="inlineStr">
        <is>
          <t>Itens PAC (custo local all-in)</t>
        </is>
      </c>
      <c r="B10" s="11" t="n">
        <v>166060.16</v>
      </c>
    </row>
    <row r="11">
      <c r="A11" t="inlineStr">
        <is>
          <t>Supermetal - integração/montagem GDT (custo direto)</t>
        </is>
      </c>
      <c r="B11" s="11" t="n">
        <v>707790.6</v>
      </c>
    </row>
    <row r="12">
      <c r="A12" t="inlineStr">
        <is>
          <t>Custo de montagem / integração do Rack (input, se houver)</t>
        </is>
      </c>
      <c r="B12" s="11" t="n">
        <v>0</v>
      </c>
    </row>
    <row r="13">
      <c r="A13" t="inlineStr">
        <is>
          <t>Frete extra do Rack montado (input, se houver)</t>
        </is>
      </c>
      <c r="B13" s="11" t="n">
        <v>0</v>
      </c>
    </row>
    <row r="14">
      <c r="A14" s="1" t="inlineStr">
        <is>
          <t>COMPARAÇÃO DE CENÁRIOS</t>
        </is>
      </c>
    </row>
    <row r="15" ht="48" customHeight="1">
      <c r="A15" t="inlineStr"/>
      <c r="B15" s="2" t="inlineStr">
        <is>
          <t>Base (atual) - BRL</t>
        </is>
      </c>
      <c r="C15" s="2" t="inlineStr">
        <is>
          <t>Base (atual) - USD</t>
        </is>
      </c>
      <c r="D15" s="2" t="inlineStr">
        <is>
          <t>Ex-tarifário: Rack (LXA+MCA+GoLinc+PTC+conectores) - BRL</t>
        </is>
      </c>
      <c r="E15" s="2" t="inlineStr">
        <is>
          <t>Ex-tarifário: Rack (LXA+MCA+GoLinc+PTC+conectores) - USD</t>
        </is>
      </c>
      <c r="F15" s="2" t="inlineStr">
        <is>
          <t>Ex-tarifário: Rack + Fastbrake - BRL</t>
        </is>
      </c>
      <c r="G15" s="2" t="inlineStr">
        <is>
          <t>Ex-tarifário: Rack + Fastbrake - USD</t>
        </is>
      </c>
    </row>
    <row r="16">
      <c r="A16" t="inlineStr">
        <is>
          <t>Raw cost - itens importados</t>
        </is>
      </c>
      <c r="B16" s="5">
        <f>SUM('Itens do Rack'!G4:G50)</f>
        <v/>
      </c>
      <c r="C16" s="4">
        <f>B16/$B$3</f>
        <v/>
      </c>
      <c r="D16" s="5">
        <f>SUM('Itens do Rack'!G4:G50)</f>
        <v/>
      </c>
      <c r="E16" s="4">
        <f>D16/$B$3</f>
        <v/>
      </c>
      <c r="F16" s="5">
        <f>SUM('Itens do Rack'!G4:G50)</f>
        <v/>
      </c>
      <c r="G16" s="4">
        <f>F16/$B$3</f>
        <v/>
      </c>
    </row>
    <row r="17">
      <c r="A17" t="inlineStr">
        <is>
          <t>Itens PAC</t>
        </is>
      </c>
      <c r="B17" s="5">
        <f>$B$10</f>
        <v/>
      </c>
      <c r="C17" s="4">
        <f>B17/$B$3</f>
        <v/>
      </c>
      <c r="D17" s="5">
        <f>$B$10</f>
        <v/>
      </c>
      <c r="E17" s="4">
        <f>D17/$B$3</f>
        <v/>
      </c>
      <c r="F17" s="5">
        <f>$B$10</f>
        <v/>
      </c>
      <c r="G17" s="4">
        <f>F17/$B$3</f>
        <v/>
      </c>
    </row>
    <row r="18">
      <c r="A18" t="inlineStr">
        <is>
          <t>TP - Transfer Price</t>
        </is>
      </c>
      <c r="B18" s="5">
        <f>SUM('Itens do Rack'!I4:I50)</f>
        <v/>
      </c>
      <c r="C18" s="4">
        <f>B18/$B$3</f>
        <v/>
      </c>
      <c r="D18" s="5">
        <f>SUM('Itens do Rack'!I4:I50)</f>
        <v/>
      </c>
      <c r="E18" s="4">
        <f>D18/$B$3</f>
        <v/>
      </c>
      <c r="F18" s="5">
        <f>SUM('Itens do Rack'!I4:I50)</f>
        <v/>
      </c>
      <c r="G18" s="4">
        <f>F18/$B$3</f>
        <v/>
      </c>
    </row>
    <row r="19">
      <c r="A19" t="inlineStr">
        <is>
          <t>Frete internacional</t>
        </is>
      </c>
      <c r="B19" s="5">
        <f>SUM('Itens do Rack'!J4:J50)</f>
        <v/>
      </c>
      <c r="C19" s="4">
        <f>B19/$B$3</f>
        <v/>
      </c>
      <c r="D19" s="5">
        <f>SUM('Itens do Rack'!J4:J50)</f>
        <v/>
      </c>
      <c r="E19" s="4">
        <f>D19/$B$3</f>
        <v/>
      </c>
      <c r="F19" s="5">
        <f>SUM('Itens do Rack'!J4:J50)</f>
        <v/>
      </c>
      <c r="G19" s="4">
        <f>F19/$B$3</f>
        <v/>
      </c>
    </row>
    <row r="20">
      <c r="A20" t="inlineStr">
        <is>
          <t>II - Imposto de importação</t>
        </is>
      </c>
      <c r="B20" s="5">
        <f>SUM('Itens do Rack'!L4:L50)</f>
        <v/>
      </c>
      <c r="C20" s="4">
        <f>B20/$B$3</f>
        <v/>
      </c>
      <c r="D20" s="5">
        <f>SUM('Itens do Rack'!L4:L50)-SUMPRODUCT('Itens do Rack'!L4:L50,'Itens do Rack'!M4:M50)+SUMPRODUCT(('Itens do Rack'!G4:G50+'Itens do Rack'!I4:I50+'Itens do Rack'!J4:J50),'Itens do Rack'!M4:M50)*$B$5</f>
        <v/>
      </c>
      <c r="E20" s="4">
        <f>D20/$B$3</f>
        <v/>
      </c>
      <c r="F20" s="5">
        <f>SUM('Itens do Rack'!L4:L50)-SUMPRODUCT('Itens do Rack'!L4:L50,'Itens do Rack'!N4:N50)+SUMPRODUCT(('Itens do Rack'!G4:G50+'Itens do Rack'!I4:I50+'Itens do Rack'!J4:J50),'Itens do Rack'!N4:N50)*$B$5</f>
        <v/>
      </c>
      <c r="G20" s="4">
        <f>F20/$B$3</f>
        <v/>
      </c>
    </row>
    <row r="21">
      <c r="A21" t="inlineStr">
        <is>
          <t>Frete nacional</t>
        </is>
      </c>
      <c r="B21" s="5">
        <f>$B$9</f>
        <v/>
      </c>
      <c r="C21" s="4">
        <f>B21/$B$3</f>
        <v/>
      </c>
      <c r="D21" s="5">
        <f>$B$9</f>
        <v/>
      </c>
      <c r="E21" s="4">
        <f>D21/$B$3</f>
        <v/>
      </c>
      <c r="F21" s="5">
        <f>$B$9</f>
        <v/>
      </c>
      <c r="G21" s="4">
        <f>F21/$B$3</f>
        <v/>
      </c>
    </row>
    <row r="22">
      <c r="A22" t="inlineStr">
        <is>
          <t>Supermetal - integração/montagem GDT</t>
        </is>
      </c>
      <c r="B22" s="5">
        <f>$B$11</f>
        <v/>
      </c>
      <c r="C22" s="4">
        <f>B22/$B$3</f>
        <v/>
      </c>
      <c r="D22" s="5">
        <f>$B$11</f>
        <v/>
      </c>
      <c r="E22" s="4">
        <f>D22/$B$3</f>
        <v/>
      </c>
      <c r="F22" s="5">
        <f>$B$11</f>
        <v/>
      </c>
      <c r="G22" s="4">
        <f>F22/$B$3</f>
        <v/>
      </c>
    </row>
    <row r="23">
      <c r="A23" t="inlineStr">
        <is>
          <t>Montagem / integração do Rack</t>
        </is>
      </c>
      <c r="B23" s="5">
        <f>$B$12</f>
        <v/>
      </c>
      <c r="C23" s="4">
        <f>B23/$B$3</f>
        <v/>
      </c>
      <c r="D23" s="5">
        <f>$B$12</f>
        <v/>
      </c>
      <c r="E23" s="4">
        <f>D23/$B$3</f>
        <v/>
      </c>
      <c r="F23" s="5">
        <f>$B$12</f>
        <v/>
      </c>
      <c r="G23" s="4">
        <f>F23/$B$3</f>
        <v/>
      </c>
    </row>
    <row r="24">
      <c r="A24" t="inlineStr">
        <is>
          <t>Frete extra (Rack montado)</t>
        </is>
      </c>
      <c r="B24" s="5">
        <f>$B$13</f>
        <v/>
      </c>
      <c r="C24" s="4">
        <f>B24/$B$3</f>
        <v/>
      </c>
      <c r="D24" s="5">
        <f>$B$13</f>
        <v/>
      </c>
      <c r="E24" s="4">
        <f>D24/$B$3</f>
        <v/>
      </c>
      <c r="F24" s="5">
        <f>$B$13</f>
        <v/>
      </c>
      <c r="G24" s="4">
        <f>F24/$B$3</f>
        <v/>
      </c>
    </row>
    <row r="25">
      <c r="A25" s="8" t="inlineStr">
        <is>
          <t>CUSTO FINAL (com TP):</t>
        </is>
      </c>
      <c r="B25" s="12">
        <f>SUM(B16:B24)</f>
        <v/>
      </c>
      <c r="C25" s="13">
        <f>B25/$B$3</f>
        <v/>
      </c>
      <c r="D25" s="12">
        <f>SUM(D16:D24)</f>
        <v/>
      </c>
      <c r="E25" s="13">
        <f>D25/$B$3</f>
        <v/>
      </c>
      <c r="F25" s="12">
        <f>SUM(F16:F24)</f>
        <v/>
      </c>
      <c r="G25" s="13">
        <f>F25/$B$3</f>
        <v/>
      </c>
    </row>
    <row r="26">
      <c r="A26" t="inlineStr">
        <is>
          <t>Base p/ margem (Custo Final - TP)</t>
        </is>
      </c>
      <c r="B26" s="5">
        <f>B25-B18</f>
        <v/>
      </c>
      <c r="C26" s="4">
        <f>B26/$B$3</f>
        <v/>
      </c>
      <c r="D26" s="5">
        <f>D25-D18</f>
        <v/>
      </c>
      <c r="E26" s="4">
        <f>D26/$B$3</f>
        <v/>
      </c>
      <c r="F26" s="5">
        <f>F25-F18</f>
        <v/>
      </c>
      <c r="G26" s="4">
        <f>F26/$B$3</f>
        <v/>
      </c>
    </row>
    <row r="27">
      <c r="A27" t="inlineStr">
        <is>
          <t>Preço líquido s/ TP (Base / (1 - TDM))</t>
        </is>
      </c>
      <c r="B27" s="5">
        <f>B26/(1-$B$4)</f>
        <v/>
      </c>
      <c r="C27" s="4">
        <f>B27/$B$3</f>
        <v/>
      </c>
      <c r="D27" s="5">
        <f>D26/(1-$B$4)</f>
        <v/>
      </c>
      <c r="E27" s="4">
        <f>D27/$B$3</f>
        <v/>
      </c>
      <c r="F27" s="5">
        <f>F26/(1-$B$4)</f>
        <v/>
      </c>
      <c r="G27" s="4">
        <f>F27/$B$3</f>
        <v/>
      </c>
    </row>
    <row r="28">
      <c r="A28" s="8" t="inlineStr">
        <is>
          <t>PREÇO LÍQUIDO ('NOSSO PREÇO'):</t>
        </is>
      </c>
      <c r="B28" s="12">
        <f>B27+B18</f>
        <v/>
      </c>
      <c r="C28" s="13">
        <f>B28/$B$3</f>
        <v/>
      </c>
      <c r="D28" s="12">
        <f>D27+D18</f>
        <v/>
      </c>
      <c r="E28" s="13">
        <f>D28/$B$3</f>
        <v/>
      </c>
      <c r="F28" s="12">
        <f>F27+F18</f>
        <v/>
      </c>
      <c r="G28" s="13">
        <f>F28/$B$3</f>
        <v/>
      </c>
    </row>
    <row r="29">
      <c r="A29" t="inlineStr">
        <is>
          <t>+ PIS/COFINS (por dentro)</t>
        </is>
      </c>
      <c r="B29" s="5">
        <f>B28/(1-$B$6)</f>
        <v/>
      </c>
      <c r="C29" s="4">
        <f>B29/$B$3</f>
        <v/>
      </c>
      <c r="D29" s="5">
        <f>D28/(1-$B$6)</f>
        <v/>
      </c>
      <c r="E29" s="4">
        <f>D29/$B$3</f>
        <v/>
      </c>
      <c r="F29" s="5">
        <f>F28/(1-$B$6)</f>
        <v/>
      </c>
      <c r="G29" s="4">
        <f>F29/$B$3</f>
        <v/>
      </c>
    </row>
    <row r="30">
      <c r="A30" t="inlineStr">
        <is>
          <t>+ ICMS (por dentro)</t>
        </is>
      </c>
      <c r="B30" s="5">
        <f>B29/(1-$B$7)</f>
        <v/>
      </c>
      <c r="C30" s="4">
        <f>B30/$B$3</f>
        <v/>
      </c>
      <c r="D30" s="5">
        <f>D29/(1-$B$7)</f>
        <v/>
      </c>
      <c r="E30" s="4">
        <f>D30/$B$3</f>
        <v/>
      </c>
      <c r="F30" s="5">
        <f>F29/(1-$B$7)</f>
        <v/>
      </c>
      <c r="G30" s="4">
        <f>F30/$B$3</f>
        <v/>
      </c>
    </row>
    <row r="31">
      <c r="A31" t="inlineStr">
        <is>
          <t>+ IPI (por fora)</t>
        </is>
      </c>
      <c r="B31" s="5">
        <f>B30*$B$8</f>
        <v/>
      </c>
      <c r="C31" s="4">
        <f>B31/$B$3</f>
        <v/>
      </c>
      <c r="D31" s="5">
        <f>D30*$B$8</f>
        <v/>
      </c>
      <c r="E31" s="4">
        <f>D31/$B$3</f>
        <v/>
      </c>
      <c r="F31" s="5">
        <f>F30*$B$8</f>
        <v/>
      </c>
      <c r="G31" s="4">
        <f>F31/$B$3</f>
        <v/>
      </c>
    </row>
    <row r="32">
      <c r="A32" s="8" t="inlineStr">
        <is>
          <t>PREÇO FINAL AO CLIENTE:</t>
        </is>
      </c>
      <c r="B32" s="12">
        <f>B30+B31</f>
        <v/>
      </c>
      <c r="C32" s="13">
        <f>B32/$B$3</f>
        <v/>
      </c>
      <c r="D32" s="12">
        <f>D30+D31</f>
        <v/>
      </c>
      <c r="E32" s="13">
        <f>D32/$B$3</f>
        <v/>
      </c>
      <c r="F32" s="12">
        <f>F30+F31</f>
        <v/>
      </c>
      <c r="G32" s="13">
        <f>F32/$B$3</f>
        <v/>
      </c>
    </row>
    <row r="34">
      <c r="A34" s="8" t="inlineStr">
        <is>
          <t>Economia no Preço Líquido vs Base</t>
        </is>
      </c>
      <c r="D34" s="14">
        <f>B28-D28</f>
        <v/>
      </c>
      <c r="E34" s="15">
        <f>D34/$B$3</f>
        <v/>
      </c>
      <c r="F34" s="14">
        <f>B28-F28</f>
        <v/>
      </c>
      <c r="G34" s="15">
        <f>F34/$B$3</f>
        <v/>
      </c>
    </row>
    <row r="35">
      <c r="A35" s="8" t="inlineStr">
        <is>
          <t>Economia no Preço Final vs Base</t>
        </is>
      </c>
      <c r="D35" s="14">
        <f>B32-D32</f>
        <v/>
      </c>
      <c r="E35" s="15">
        <f>D35/$B$3</f>
        <v/>
      </c>
      <c r="F35" s="14">
        <f>B32-F32</f>
        <v/>
      </c>
      <c r="G35" s="15">
        <f>F35/$B$3</f>
        <v/>
      </c>
    </row>
    <row r="37">
      <c r="A37" t="inlineStr">
        <is>
          <t>Peso total do grupo Rack (kg)</t>
        </is>
      </c>
      <c r="B37" s="16">
        <f>SUMIF('Itens do Rack'!D4:D50,"Rack",'Itens do Rack'!O4:O50)</f>
        <v/>
      </c>
    </row>
    <row r="39">
      <c r="A39" s="17" t="inlineStr">
        <is>
          <t>- Ex-tarifário só zera a linha do II. As alíquotas de IPI/PIS/COFINS/ICMS não mudam (neste modelo são impostos de saída sobre o preço de venda, então só caem porque a base de preço cai).</t>
        </is>
      </c>
    </row>
    <row r="40">
      <c r="A40" s="17" t="inlineStr">
        <is>
          <t>- O ex-tarifário é concedido por NCM + descrição técnica via MDIC/GECEX (consulta pública, 1-2 anos, sem retroatividade). Sistemas integrados podem ser recusados - o PN único do Rack precisa ser classificado numa NCM coberta por um ex.</t>
        </is>
      </c>
    </row>
    <row r="41">
      <c r="A41" s="17" t="inlineStr">
        <is>
          <t>- Fastbrake / NYAB CCBII: não sabemos se existe ex - mostrado como cenário separado.</t>
        </is>
      </c>
    </row>
    <row r="42">
      <c r="A42" s="17" t="inlineStr">
        <is>
          <t>- Envio do Rack montado: frete mantido no % de valor da China Gate; cotação de carga montada (peso/volume) e mão de obra de montagem do Rack são inputs acima, padrão 0.</t>
        </is>
      </c>
    </row>
    <row r="43">
      <c r="A43" s="17" t="inlineStr">
        <is>
          <t>- TP inalterado (13%/17,2% por grupo); com um PN único do Rack, o TP seria aplicado sobre o preço do kit - confirmar com o responsável por transfer pricing.</t>
        </is>
      </c>
    </row>
  </sheetData>
  <mergeCells count="5">
    <mergeCell ref="A40:G40"/>
    <mergeCell ref="A39:G39"/>
    <mergeCell ref="A43:G43"/>
    <mergeCell ref="A41:G41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2026-09-23T22:13:25Z</dcterms:created>
  <dcterms:modified xmlns:dcterms="http://purl.org/dc/terms/" xmlns:xsi="http://www.w3.org/2001/XMLSchema-instance" xsi:type="dcterms:W3CDTF">2026-09-23T22:13:25Z</dcterms:modified>
</cp:coreProperties>
</file>