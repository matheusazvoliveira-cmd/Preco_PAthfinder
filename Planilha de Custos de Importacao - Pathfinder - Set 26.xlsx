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wabtec.sharepoint.com/sites/LogTeam/Shared Documents/Logística Internacional/Planilha Internação (Landed)/"/>
    </mc:Choice>
  </mc:AlternateContent>
  <xr:revisionPtr revIDLastSave="68" documentId="8_{5B4AE396-6068-41B8-AD66-0BF962DAE684}" xr6:coauthVersionLast="47" xr6:coauthVersionMax="47" xr10:uidLastSave="{33C0E538-D77F-4150-8D26-CA01CE24C242}"/>
  <bookViews>
    <workbookView xWindow="-120" yWindow="-120" windowWidth="29040" windowHeight="17520" tabRatio="500" xr2:uid="{00000000-000D-0000-FFFF-FFFF00000000}"/>
  </bookViews>
  <sheets>
    <sheet name="Pathfinder" sheetId="6" r:id="rId1"/>
    <sheet name="Despesas de Importação" sheetId="7" r:id="rId2"/>
    <sheet name="base" sheetId="8" r:id="rId3"/>
  </sheets>
  <externalReferences>
    <externalReference r:id="rId4"/>
  </externalReferences>
  <definedNames>
    <definedName name="taxa">[1]Master!$E$1</definedName>
    <definedName name="total.itens">[1]Master!$D$112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7" i="6" l="1"/>
  <c r="I17" i="7"/>
  <c r="E5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J6" i="8"/>
  <c r="I6" i="8"/>
  <c r="J5" i="8" l="1"/>
  <c r="I5" i="8"/>
  <c r="I4" i="8" l="1"/>
  <c r="I22" i="8" s="1"/>
  <c r="J4" i="8"/>
  <c r="J22" i="8" s="1"/>
  <c r="H24" i="6" s="1"/>
  <c r="I27" i="6" l="1"/>
  <c r="I19" i="7" s="1"/>
  <c r="H38" i="7"/>
  <c r="H42" i="6"/>
  <c r="H33" i="6"/>
  <c r="I33" i="6" s="1"/>
  <c r="H26" i="6"/>
  <c r="I26" i="6" s="1"/>
  <c r="I24" i="6"/>
  <c r="H28" i="6" l="1"/>
  <c r="H29" i="6" s="1"/>
  <c r="I49" i="6"/>
  <c r="I28" i="6" l="1"/>
  <c r="I50" i="6" s="1"/>
  <c r="G50" i="6" s="1"/>
  <c r="G49" i="6"/>
  <c r="I29" i="6" l="1"/>
  <c r="I27" i="7" l="1"/>
  <c r="I16" i="7"/>
  <c r="I38" i="7"/>
  <c r="I34" i="6" s="1"/>
  <c r="H34" i="6" s="1"/>
  <c r="H35" i="6" s="1"/>
  <c r="I40" i="6"/>
  <c r="I38" i="6"/>
  <c r="I41" i="6"/>
  <c r="I52" i="6" l="1"/>
  <c r="G52" i="6" s="1"/>
  <c r="I35" i="6"/>
  <c r="I51" i="6" s="1"/>
  <c r="I39" i="6"/>
  <c r="I53" i="6" l="1"/>
  <c r="I58" i="6" s="1"/>
  <c r="G51" i="6"/>
  <c r="I42" i="6"/>
  <c r="G42" i="6" s="1"/>
  <c r="I45" i="6"/>
  <c r="I56" i="6" s="1"/>
  <c r="I60" i="6" l="1"/>
  <c r="G56" i="6"/>
  <c r="G53" i="6"/>
  <c r="I46" i="6"/>
  <c r="G46" i="6" s="1"/>
  <c r="H45" i="6"/>
</calcChain>
</file>

<file path=xl/sharedStrings.xml><?xml version="1.0" encoding="utf-8"?>
<sst xmlns="http://schemas.openxmlformats.org/spreadsheetml/2006/main" count="194" uniqueCount="142">
  <si>
    <t>Telefone do Contato</t>
  </si>
  <si>
    <t xml:space="preserve">Data: </t>
  </si>
  <si>
    <t>No. Invoice:</t>
  </si>
  <si>
    <t>Incoterm:</t>
  </si>
  <si>
    <t xml:space="preserve">Porto Origem: </t>
  </si>
  <si>
    <t xml:space="preserve">Porto Destino: </t>
  </si>
  <si>
    <t xml:space="preserve">Agente Cargas: </t>
  </si>
  <si>
    <t>Versão</t>
  </si>
  <si>
    <t>%</t>
  </si>
  <si>
    <t>USD</t>
  </si>
  <si>
    <t>BRL</t>
  </si>
  <si>
    <t>Taxa Cambial</t>
  </si>
  <si>
    <t>II - Imposto Importação</t>
  </si>
  <si>
    <t>IPI - Imposto Produto Industrializado</t>
  </si>
  <si>
    <t>PIS - Programa Integração Social</t>
  </si>
  <si>
    <t>Cofins - Contrib. Financ. Seguridade Social</t>
  </si>
  <si>
    <t>Valor dos produtos</t>
  </si>
  <si>
    <t>Valor das Despesas</t>
  </si>
  <si>
    <t>Fator Conversão =&gt;</t>
  </si>
  <si>
    <t>1. Valores sujeitos a alteração cambial</t>
  </si>
  <si>
    <t>Planilha de Apoio para levantamento de Custos de Importação</t>
  </si>
  <si>
    <t>Instruções de Preenchimento</t>
  </si>
  <si>
    <t>2. Essa planilha serve somente para simulação</t>
  </si>
  <si>
    <t xml:space="preserve">3. Antes de realizar sua importação, contate um despachante aduaneiro de confiança. </t>
  </si>
  <si>
    <t>1. Informações Gerais</t>
  </si>
  <si>
    <t xml:space="preserve">Razão Social do Importador: </t>
  </si>
  <si>
    <t>Nome do Fornecedor Internacional</t>
  </si>
  <si>
    <t>Contato (email, skype, telefone, whatsapp)</t>
  </si>
  <si>
    <t>2. Produto/Frete/Seguro (Bloco1)</t>
  </si>
  <si>
    <t>Nome do Produto</t>
  </si>
  <si>
    <t>Custo Unitário do produto (prencher em dólar)</t>
  </si>
  <si>
    <t>Quantidade do Produto a ser importada</t>
  </si>
  <si>
    <t xml:space="preserve">Valor total dos produtos (na origem) </t>
  </si>
  <si>
    <t>Valor do Seguro Internacional (preencher em dólar)</t>
  </si>
  <si>
    <t xml:space="preserve">Sub-Total Bloco 1 Valor Aduaneiro (VMLD) </t>
  </si>
  <si>
    <t>1. Preencha somente os campos em vermelho</t>
  </si>
  <si>
    <t>Despesas em dólar</t>
  </si>
  <si>
    <t>Despesas em Real</t>
  </si>
  <si>
    <t>Sub-Total Bloco 2</t>
  </si>
  <si>
    <t>Digite o % aqui ====&gt;</t>
  </si>
  <si>
    <t>Sub-Total do Bloco 3</t>
  </si>
  <si>
    <t xml:space="preserve">ICMS - Imp. Circ. Merc. Serv. </t>
  </si>
  <si>
    <t>Sub-Total do Bloco 4 (ICMS a pagar)</t>
  </si>
  <si>
    <t>Resumo da Operação</t>
  </si>
  <si>
    <t>Valor Total da Importação</t>
  </si>
  <si>
    <t xml:space="preserve">Observações Importantes: </t>
  </si>
  <si>
    <t>1. Os custos de importação tem muitas variáveis, então não existe um padrão único. O custo exato da sua importação deve</t>
  </si>
  <si>
    <t xml:space="preserve">ser feito por um profissional da área (despachante aduaneiro ou analista de importação). </t>
  </si>
  <si>
    <t>2. Essa planilha serve para você ter uma noção se o produto é viável ou não, sendo que ela não apresenta o custo exato da</t>
  </si>
  <si>
    <t xml:space="preserve">sua importação. Não pelos cálculos e fórmulas, mas provavelmente pela precisão das informações que você está inserindo. </t>
  </si>
  <si>
    <t>3. No entanto, com as informações obtidas nessa planilha você poderá ter noção sobre a viabilidade do produto e decidir</t>
  </si>
  <si>
    <t>se vai importar ou não (esse é o objetivo agora)</t>
  </si>
  <si>
    <t>4. Essa planilha não dá direiro a uma consultoria do China Gate</t>
  </si>
  <si>
    <t xml:space="preserve">5. Perceba que o campo de despesas na planilha acima não está preenchido, existem mais de 30 despesas disponíveis em </t>
  </si>
  <si>
    <t>uma importação. Se não souber os valores, insira 3 mil reais (média) para ter uma simulação melhor sobre sua importação.</t>
  </si>
  <si>
    <t>3. Despesas Aduaneiras (Bloco 2)</t>
  </si>
  <si>
    <t>5. Impostos Estaduais (ICMS)  Bloco 4</t>
  </si>
  <si>
    <t>3. Despesas de Importação (Detalhamento)</t>
  </si>
  <si>
    <t>1. Siscomex</t>
  </si>
  <si>
    <t>2. Despachante Aduaneiro</t>
  </si>
  <si>
    <t>6. Alteração de BL</t>
  </si>
  <si>
    <t>7. Confecção de BL</t>
  </si>
  <si>
    <t>8. Sindicado dos Despachantes</t>
  </si>
  <si>
    <t>9. Capatazia / Movimentação</t>
  </si>
  <si>
    <t>10. Confecção de LI</t>
  </si>
  <si>
    <t>11. Anuência de LI</t>
  </si>
  <si>
    <t>12. Liberação de DTA</t>
  </si>
  <si>
    <t>14. Desconsolidação</t>
  </si>
  <si>
    <t>17. Contratos de Cambio</t>
  </si>
  <si>
    <t>18. IOF</t>
  </si>
  <si>
    <t>19. Laudos e Inspeções</t>
  </si>
  <si>
    <t>20. Fumigação</t>
  </si>
  <si>
    <t>21. Consultoria</t>
  </si>
  <si>
    <t>23. Courrier</t>
  </si>
  <si>
    <t xml:space="preserve">24. Outros </t>
  </si>
  <si>
    <t>Total das Despesas</t>
  </si>
  <si>
    <t>Sempre</t>
  </si>
  <si>
    <t>Preencher umas das duas opções, ou em Dólar ou em Reais, nunca as duas na mesma linha</t>
  </si>
  <si>
    <t>Valor dos Impostos (Apenas II)</t>
  </si>
  <si>
    <t>4. Transporte Rodoviário (SSZ x Betim)</t>
  </si>
  <si>
    <t>(Tx Siscomex, Armazenagem, ARFMM, Desembaraço Aduaneiro, Transporte Local…)</t>
  </si>
  <si>
    <t>Valor do Frete Int´l + Seguro</t>
  </si>
  <si>
    <t>15. Liberação de B/L + Desconsolidação</t>
  </si>
  <si>
    <t>5. Marinha Mercante 8% DO VALOR DO FRETE</t>
  </si>
  <si>
    <t>Valor do Frete Internacional (preencher em dólar) (AGENTE DE CARGAS)</t>
  </si>
  <si>
    <t xml:space="preserve">4. Impostos Federais (Bloco 3) -- - </t>
  </si>
  <si>
    <t>16. Collect fee</t>
  </si>
  <si>
    <t>PN</t>
  </si>
  <si>
    <t>DESCRIPTION</t>
  </si>
  <si>
    <t>NCM</t>
  </si>
  <si>
    <t>PESO (KG)</t>
  </si>
  <si>
    <t>QTY</t>
  </si>
  <si>
    <t>PESO BRUTO (EST)</t>
  </si>
  <si>
    <r>
      <t xml:space="preserve">VALOR FOB </t>
    </r>
    <r>
      <rPr>
        <b/>
        <i/>
        <u/>
        <sz val="11"/>
        <color rgb="FF000000"/>
        <rFont val="Aptos"/>
        <family val="2"/>
      </rPr>
      <t>TOTAL</t>
    </r>
    <r>
      <rPr>
        <b/>
        <i/>
        <sz val="11"/>
        <color rgb="FF000000"/>
        <rFont val="Aptos"/>
        <family val="2"/>
      </rPr>
      <t xml:space="preserve">  </t>
    </r>
    <r>
      <rPr>
        <b/>
        <sz val="11"/>
        <color rgb="FF000000"/>
        <rFont val="Aptos"/>
        <family val="2"/>
      </rPr>
      <t>(EST)</t>
    </r>
  </si>
  <si>
    <t>II (%)</t>
  </si>
  <si>
    <t>IPI (%)</t>
  </si>
  <si>
    <t>PIS (%)</t>
  </si>
  <si>
    <t>COFINS (%)</t>
  </si>
  <si>
    <t>Valor Total da Importação (TODOS IMPOSTOS)</t>
  </si>
  <si>
    <t>CUSTO UNITÁRIO SOMENTE COM II</t>
  </si>
  <si>
    <t>CUSTO UNITÁRIO COM TODOS IMPOSTOS (II-IPI-PIS-COFINS-ICMS)</t>
  </si>
  <si>
    <t>PTAX</t>
  </si>
  <si>
    <t>13. Armazenagem BETIM</t>
  </si>
  <si>
    <t>Kit Pathfinder</t>
  </si>
  <si>
    <t>41A296352CMP437</t>
  </si>
  <si>
    <t>84A222059P5</t>
  </si>
  <si>
    <t>41A296352LUG24</t>
  </si>
  <si>
    <t>37495P</t>
  </si>
  <si>
    <t>84A215295P62</t>
  </si>
  <si>
    <t>41A296352DNP37</t>
  </si>
  <si>
    <t>17FM878A6</t>
  </si>
  <si>
    <t>L7000083-900</t>
  </si>
  <si>
    <t>84A237085AEP121</t>
  </si>
  <si>
    <t>17KC108E28</t>
  </si>
  <si>
    <t>84A215295P73</t>
  </si>
  <si>
    <t>17FM868B2</t>
  </si>
  <si>
    <t>41A296352DNP55</t>
  </si>
  <si>
    <t>32613P</t>
  </si>
  <si>
    <t>41B546155P2</t>
  </si>
  <si>
    <t>41D758679BJG16 	84D704379AFG1</t>
  </si>
  <si>
    <t>Dual Processor Module (DPM)+ LXA (Distributed Power Radio)</t>
  </si>
  <si>
    <t>BATTERIES</t>
  </si>
  <si>
    <t>CSX Antenna Enclosure Arrangement</t>
  </si>
  <si>
    <t>KIT ETMS VIRGIN TRAINS FEC EVO44</t>
  </si>
  <si>
    <t>Pneumatic Brake Control System (Including lament and control portions) Includes EM EAB Control Functionality</t>
  </si>
  <si>
    <t>RADIO PRAD PTC RADIO</t>
  </si>
  <si>
    <t>NIO 2.0</t>
  </si>
  <si>
    <t>Wireless Communications Management Module, Gen 3 (WCM3)​</t>
  </si>
  <si>
    <t>8 Slot ACC Chassis for MCA w/ i7 HPEAP and SMM2 Cards</t>
  </si>
  <si>
    <t>MASTER CONTROLLER</t>
  </si>
  <si>
    <t>Air Brake Handle Assembly (AAR Console)</t>
  </si>
  <si>
    <t>SNIO</t>
  </si>
  <si>
    <t>VOICE RADIO RITRON</t>
  </si>
  <si>
    <t>KIT ETMS AXLE INTERFACE FOR WPart Number 29266P</t>
  </si>
  <si>
    <t>Horn</t>
  </si>
  <si>
    <t>Ditchlight Control Box (SMART BOX-V3-DLC )</t>
  </si>
  <si>
    <t>EC Part NumberL ASM</t>
  </si>
  <si>
    <t>LED Ditch Light</t>
  </si>
  <si>
    <t>Price EA USD  </t>
  </si>
  <si>
    <t>90328990</t>
  </si>
  <si>
    <t>3. Armazenagem Santos Brasil</t>
  </si>
  <si>
    <t>4.1 Transporte Rodoviário (BetimX Contagem)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</si>
</sst>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.00_);_([$$-409]* \(#,##0.00\);_([$$-409]* &quot;-&quot;??_);_(@_)"/>
    <numFmt numFmtId="165" formatCode="&quot;R$&quot;#,##0.00"/>
    <numFmt numFmtId="166" formatCode="0.0%"/>
    <numFmt numFmtId="167" formatCode="&quot;R$&quot;\ #,##0.00"/>
    <numFmt numFmtId="168" formatCode="_([$USD]\ * #,##0.00_);_([$USD]\ * \(#,##0.00\);_([$USD]\ * &quot;-&quot;??_);_(@_)"/>
    <numFmt numFmtId="169" formatCode="[$-409]d\-mmm\-yy;@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b/>
      <sz val="12"/>
      <color theme="1"/>
      <name val="Calibri"/>
      <family val="2"/>
      <scheme val="minor"/>
    </font>
    <font>
      <b/>
      <i/>
      <sz val="11"/>
      <color rgb="FF000000"/>
      <name val="Aptos"/>
      <family val="2"/>
    </font>
    <font>
      <b/>
      <i/>
      <u/>
      <sz val="11"/>
      <color rgb="FF000000"/>
      <name val="Aptos"/>
      <family val="2"/>
    </font>
    <font>
      <b/>
      <sz val="14"/>
      <color rgb="FFFF0000"/>
      <name val="Calibri"/>
      <family val="2"/>
      <scheme val="minor"/>
    </font>
    <font>
      <sz val="11"/>
      <color rgb="FFFF0000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 diagonalUp="1">
      <left/>
      <right/>
      <top style="hair">
        <color auto="1"/>
      </top>
      <bottom style="hair">
        <color auto="1"/>
      </bottom>
      <diagonal style="thin">
        <color auto="1"/>
      </diagonal>
    </border>
    <border diagonalUp="1">
      <left/>
      <right style="thin">
        <color auto="1"/>
      </right>
      <top style="hair">
        <color auto="1"/>
      </top>
      <bottom style="hair">
        <color auto="1"/>
      </bottom>
      <diagonal style="thin">
        <color auto="1"/>
      </diagonal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169">
    <xf numFmtId="0" fontId="0" fillId="0" borderId="0" xfId="0"/>
    <xf numFmtId="0" fontId="3" fillId="0" borderId="0" xfId="0" applyFont="1"/>
    <xf numFmtId="0" fontId="3" fillId="2" borderId="4" xfId="0" applyFont="1" applyFill="1" applyBorder="1"/>
    <xf numFmtId="0" fontId="3" fillId="2" borderId="0" xfId="0" applyFont="1" applyFill="1"/>
    <xf numFmtId="0" fontId="3" fillId="2" borderId="5" xfId="0" applyFont="1" applyFill="1" applyBorder="1"/>
    <xf numFmtId="0" fontId="2" fillId="4" borderId="0" xfId="0" applyFont="1" applyFill="1"/>
    <xf numFmtId="0" fontId="2" fillId="2" borderId="6" xfId="0" applyFont="1" applyFill="1" applyBorder="1"/>
    <xf numFmtId="0" fontId="3" fillId="2" borderId="7" xfId="0" applyFont="1" applyFill="1" applyBorder="1"/>
    <xf numFmtId="0" fontId="3" fillId="2" borderId="7" xfId="0" applyFont="1" applyFill="1" applyBorder="1" applyAlignment="1">
      <alignment horizontal="right"/>
    </xf>
    <xf numFmtId="9" fontId="3" fillId="2" borderId="8" xfId="0" applyNumberFormat="1" applyFont="1" applyFill="1" applyBorder="1" applyAlignment="1">
      <alignment horizontal="left"/>
    </xf>
    <xf numFmtId="0" fontId="7" fillId="6" borderId="9" xfId="0" applyFont="1" applyFill="1" applyBorder="1"/>
    <xf numFmtId="0" fontId="7" fillId="6" borderId="10" xfId="0" applyFont="1" applyFill="1" applyBorder="1"/>
    <xf numFmtId="0" fontId="7" fillId="6" borderId="11" xfId="0" applyFont="1" applyFill="1" applyBorder="1"/>
    <xf numFmtId="0" fontId="3" fillId="2" borderId="8" xfId="0" applyFont="1" applyFill="1" applyBorder="1"/>
    <xf numFmtId="0" fontId="2" fillId="2" borderId="12" xfId="0" applyFont="1" applyFill="1" applyBorder="1" applyAlignment="1">
      <alignment horizontal="center"/>
    </xf>
    <xf numFmtId="14" fontId="2" fillId="2" borderId="12" xfId="0" applyNumberFormat="1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14" fontId="7" fillId="6" borderId="13" xfId="0" applyNumberFormat="1" applyFont="1" applyFill="1" applyBorder="1" applyAlignment="1">
      <alignment horizontal="center"/>
    </xf>
    <xf numFmtId="0" fontId="7" fillId="6" borderId="13" xfId="0" applyFont="1" applyFill="1" applyBorder="1" applyAlignment="1">
      <alignment horizontal="center"/>
    </xf>
    <xf numFmtId="0" fontId="7" fillId="6" borderId="13" xfId="0" applyFont="1" applyFill="1" applyBorder="1"/>
    <xf numFmtId="0" fontId="8" fillId="6" borderId="11" xfId="0" applyFont="1" applyFill="1" applyBorder="1" applyAlignment="1">
      <alignment horizontal="center"/>
    </xf>
    <xf numFmtId="0" fontId="3" fillId="0" borderId="23" xfId="0" applyFont="1" applyBorder="1"/>
    <xf numFmtId="0" fontId="3" fillId="0" borderId="24" xfId="0" applyFont="1" applyBorder="1"/>
    <xf numFmtId="164" fontId="7" fillId="3" borderId="24" xfId="0" applyNumberFormat="1" applyFont="1" applyFill="1" applyBorder="1"/>
    <xf numFmtId="165" fontId="7" fillId="6" borderId="25" xfId="0" applyNumberFormat="1" applyFont="1" applyFill="1" applyBorder="1"/>
    <xf numFmtId="0" fontId="3" fillId="0" borderId="26" xfId="0" applyFont="1" applyBorder="1"/>
    <xf numFmtId="0" fontId="3" fillId="0" borderId="27" xfId="0" applyFont="1" applyBorder="1"/>
    <xf numFmtId="0" fontId="7" fillId="6" borderId="27" xfId="0" applyFont="1" applyFill="1" applyBorder="1"/>
    <xf numFmtId="164" fontId="3" fillId="5" borderId="28" xfId="0" applyNumberFormat="1" applyFont="1" applyFill="1" applyBorder="1"/>
    <xf numFmtId="165" fontId="3" fillId="5" borderId="29" xfId="0" applyNumberFormat="1" applyFont="1" applyFill="1" applyBorder="1"/>
    <xf numFmtId="164" fontId="7" fillId="6" borderId="27" xfId="0" applyNumberFormat="1" applyFont="1" applyFill="1" applyBorder="1"/>
    <xf numFmtId="165" fontId="7" fillId="3" borderId="30" xfId="0" applyNumberFormat="1" applyFont="1" applyFill="1" applyBorder="1"/>
    <xf numFmtId="0" fontId="7" fillId="6" borderId="27" xfId="0" applyFont="1" applyFill="1" applyBorder="1" applyAlignment="1">
      <alignment horizontal="center"/>
    </xf>
    <xf numFmtId="164" fontId="7" fillId="3" borderId="27" xfId="0" applyNumberFormat="1" applyFont="1" applyFill="1" applyBorder="1"/>
    <xf numFmtId="0" fontId="3" fillId="0" borderId="31" xfId="0" applyFont="1" applyBorder="1"/>
    <xf numFmtId="0" fontId="3" fillId="0" borderId="32" xfId="0" applyFont="1" applyBorder="1"/>
    <xf numFmtId="164" fontId="7" fillId="6" borderId="32" xfId="0" applyNumberFormat="1" applyFont="1" applyFill="1" applyBorder="1"/>
    <xf numFmtId="165" fontId="7" fillId="3" borderId="33" xfId="0" applyNumberFormat="1" applyFont="1" applyFill="1" applyBorder="1"/>
    <xf numFmtId="0" fontId="2" fillId="4" borderId="16" xfId="0" applyFont="1" applyFill="1" applyBorder="1"/>
    <xf numFmtId="0" fontId="2" fillId="4" borderId="17" xfId="0" applyFont="1" applyFill="1" applyBorder="1"/>
    <xf numFmtId="164" fontId="2" fillId="4" borderId="17" xfId="0" applyNumberFormat="1" applyFont="1" applyFill="1" applyBorder="1"/>
    <xf numFmtId="165" fontId="2" fillId="4" borderId="18" xfId="0" applyNumberFormat="1" applyFont="1" applyFill="1" applyBorder="1"/>
    <xf numFmtId="165" fontId="3" fillId="0" borderId="0" xfId="0" applyNumberFormat="1" applyFont="1"/>
    <xf numFmtId="164" fontId="3" fillId="2" borderId="0" xfId="0" applyNumberFormat="1" applyFont="1" applyFill="1"/>
    <xf numFmtId="165" fontId="3" fillId="2" borderId="0" xfId="0" applyNumberFormat="1" applyFont="1" applyFill="1"/>
    <xf numFmtId="0" fontId="2" fillId="4" borderId="6" xfId="0" applyFont="1" applyFill="1" applyBorder="1"/>
    <xf numFmtId="0" fontId="3" fillId="4" borderId="7" xfId="0" applyFont="1" applyFill="1" applyBorder="1"/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3" fillId="0" borderId="34" xfId="0" applyFont="1" applyBorder="1"/>
    <xf numFmtId="0" fontId="3" fillId="0" borderId="35" xfId="0" applyFont="1" applyBorder="1"/>
    <xf numFmtId="164" fontId="3" fillId="0" borderId="35" xfId="0" applyNumberFormat="1" applyFont="1" applyBorder="1"/>
    <xf numFmtId="165" fontId="3" fillId="0" borderId="36" xfId="0" applyNumberFormat="1" applyFont="1" applyBorder="1"/>
    <xf numFmtId="0" fontId="2" fillId="0" borderId="26" xfId="0" applyFont="1" applyBorder="1"/>
    <xf numFmtId="10" fontId="2" fillId="0" borderId="27" xfId="2" applyNumberFormat="1" applyFont="1" applyFill="1" applyBorder="1"/>
    <xf numFmtId="164" fontId="8" fillId="6" borderId="27" xfId="0" applyNumberFormat="1" applyFont="1" applyFill="1" applyBorder="1"/>
    <xf numFmtId="165" fontId="8" fillId="3" borderId="30" xfId="0" applyNumberFormat="1" applyFont="1" applyFill="1" applyBorder="1"/>
    <xf numFmtId="0" fontId="2" fillId="0" borderId="31" xfId="0" applyFont="1" applyBorder="1"/>
    <xf numFmtId="10" fontId="2" fillId="0" borderId="32" xfId="2" applyNumberFormat="1" applyFont="1" applyFill="1" applyBorder="1"/>
    <xf numFmtId="164" fontId="8" fillId="3" borderId="32" xfId="0" applyNumberFormat="1" applyFont="1" applyFill="1" applyBorder="1"/>
    <xf numFmtId="165" fontId="8" fillId="6" borderId="33" xfId="0" applyNumberFormat="1" applyFont="1" applyFill="1" applyBorder="1"/>
    <xf numFmtId="164" fontId="3" fillId="0" borderId="0" xfId="0" applyNumberFormat="1" applyFont="1"/>
    <xf numFmtId="0" fontId="7" fillId="6" borderId="24" xfId="0" applyFont="1" applyFill="1" applyBorder="1"/>
    <xf numFmtId="10" fontId="7" fillId="6" borderId="37" xfId="0" applyNumberFormat="1" applyFont="1" applyFill="1" applyBorder="1" applyAlignment="1">
      <alignment horizontal="center"/>
    </xf>
    <xf numFmtId="165" fontId="7" fillId="3" borderId="25" xfId="0" applyNumberFormat="1" applyFont="1" applyFill="1" applyBorder="1"/>
    <xf numFmtId="10" fontId="7" fillId="6" borderId="38" xfId="0" applyNumberFormat="1" applyFont="1" applyFill="1" applyBorder="1" applyAlignment="1">
      <alignment horizontal="center"/>
    </xf>
    <xf numFmtId="0" fontId="7" fillId="6" borderId="32" xfId="0" applyFont="1" applyFill="1" applyBorder="1"/>
    <xf numFmtId="10" fontId="7" fillId="6" borderId="39" xfId="0" applyNumberFormat="1" applyFont="1" applyFill="1" applyBorder="1" applyAlignment="1">
      <alignment horizontal="center"/>
    </xf>
    <xf numFmtId="164" fontId="7" fillId="3" borderId="32" xfId="0" applyNumberFormat="1" applyFont="1" applyFill="1" applyBorder="1"/>
    <xf numFmtId="10" fontId="2" fillId="4" borderId="17" xfId="0" applyNumberFormat="1" applyFont="1" applyFill="1" applyBorder="1"/>
    <xf numFmtId="0" fontId="9" fillId="4" borderId="6" xfId="0" applyFont="1" applyFill="1" applyBorder="1"/>
    <xf numFmtId="0" fontId="9" fillId="4" borderId="7" xfId="0" applyFont="1" applyFill="1" applyBorder="1"/>
    <xf numFmtId="0" fontId="3" fillId="0" borderId="14" xfId="0" applyFont="1" applyBorder="1"/>
    <xf numFmtId="0" fontId="7" fillId="6" borderId="0" xfId="0" applyFont="1" applyFill="1"/>
    <xf numFmtId="10" fontId="7" fillId="6" borderId="22" xfId="0" applyNumberFormat="1" applyFont="1" applyFill="1" applyBorder="1" applyAlignment="1">
      <alignment horizontal="center"/>
    </xf>
    <xf numFmtId="164" fontId="7" fillId="3" borderId="0" xfId="0" applyNumberFormat="1" applyFont="1" applyFill="1"/>
    <xf numFmtId="165" fontId="7" fillId="3" borderId="15" xfId="0" applyNumberFormat="1" applyFont="1" applyFill="1" applyBorder="1"/>
    <xf numFmtId="0" fontId="8" fillId="7" borderId="16" xfId="0" applyFont="1" applyFill="1" applyBorder="1"/>
    <xf numFmtId="0" fontId="7" fillId="7" borderId="17" xfId="0" applyFont="1" applyFill="1" applyBorder="1"/>
    <xf numFmtId="0" fontId="8" fillId="7" borderId="7" xfId="0" applyFont="1" applyFill="1" applyBorder="1" applyAlignment="1">
      <alignment horizontal="center"/>
    </xf>
    <xf numFmtId="0" fontId="8" fillId="7" borderId="8" xfId="0" applyFont="1" applyFill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166" fontId="7" fillId="3" borderId="7" xfId="2" applyNumberFormat="1" applyFont="1" applyFill="1" applyBorder="1"/>
    <xf numFmtId="0" fontId="7" fillId="3" borderId="7" xfId="0" applyFont="1" applyFill="1" applyBorder="1"/>
    <xf numFmtId="165" fontId="7" fillId="3" borderId="8" xfId="0" applyNumberFormat="1" applyFont="1" applyFill="1" applyBorder="1"/>
    <xf numFmtId="166" fontId="7" fillId="3" borderId="0" xfId="2" applyNumberFormat="1" applyFont="1" applyFill="1" applyBorder="1"/>
    <xf numFmtId="0" fontId="8" fillId="7" borderId="17" xfId="0" applyFont="1" applyFill="1" applyBorder="1"/>
    <xf numFmtId="0" fontId="7" fillId="7" borderId="17" xfId="0" applyFont="1" applyFill="1" applyBorder="1" applyAlignment="1">
      <alignment horizontal="right"/>
    </xf>
    <xf numFmtId="43" fontId="8" fillId="7" borderId="18" xfId="1" applyFont="1" applyFill="1" applyBorder="1"/>
    <xf numFmtId="164" fontId="8" fillId="7" borderId="17" xfId="0" applyNumberFormat="1" applyFont="1" applyFill="1" applyBorder="1"/>
    <xf numFmtId="165" fontId="8" fillId="7" borderId="18" xfId="0" applyNumberFormat="1" applyFont="1" applyFill="1" applyBorder="1"/>
    <xf numFmtId="165" fontId="3" fillId="0" borderId="15" xfId="0" applyNumberFormat="1" applyFont="1" applyBorder="1"/>
    <xf numFmtId="0" fontId="3" fillId="0" borderId="10" xfId="0" applyFont="1" applyBorder="1"/>
    <xf numFmtId="164" fontId="3" fillId="0" borderId="10" xfId="0" applyNumberFormat="1" applyFont="1" applyBorder="1"/>
    <xf numFmtId="165" fontId="3" fillId="0" borderId="11" xfId="0" applyNumberFormat="1" applyFont="1" applyBorder="1"/>
    <xf numFmtId="0" fontId="3" fillId="2" borderId="19" xfId="0" applyFont="1" applyFill="1" applyBorder="1"/>
    <xf numFmtId="0" fontId="3" fillId="2" borderId="20" xfId="0" applyFont="1" applyFill="1" applyBorder="1"/>
    <xf numFmtId="164" fontId="3" fillId="2" borderId="20" xfId="0" applyNumberFormat="1" applyFont="1" applyFill="1" applyBorder="1"/>
    <xf numFmtId="165" fontId="3" fillId="2" borderId="20" xfId="0" applyNumberFormat="1" applyFont="1" applyFill="1" applyBorder="1"/>
    <xf numFmtId="0" fontId="3" fillId="2" borderId="21" xfId="0" applyFont="1" applyFill="1" applyBorder="1"/>
    <xf numFmtId="0" fontId="2" fillId="4" borderId="7" xfId="0" applyFont="1" applyFill="1" applyBorder="1"/>
    <xf numFmtId="0" fontId="3" fillId="2" borderId="1" xfId="0" applyFont="1" applyFill="1" applyBorder="1" applyProtection="1">
      <protection hidden="1"/>
    </xf>
    <xf numFmtId="0" fontId="3" fillId="2" borderId="2" xfId="0" applyFont="1" applyFill="1" applyBorder="1" applyProtection="1">
      <protection hidden="1"/>
    </xf>
    <xf numFmtId="0" fontId="3" fillId="2" borderId="3" xfId="0" applyFont="1" applyFill="1" applyBorder="1" applyProtection="1">
      <protection hidden="1"/>
    </xf>
    <xf numFmtId="0" fontId="3" fillId="2" borderId="4" xfId="0" applyFont="1" applyFill="1" applyBorder="1" applyProtection="1">
      <protection hidden="1"/>
    </xf>
    <xf numFmtId="0" fontId="3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3" fillId="2" borderId="5" xfId="0" applyFont="1" applyFill="1" applyBorder="1" applyProtection="1">
      <protection hidden="1"/>
    </xf>
    <xf numFmtId="0" fontId="7" fillId="3" borderId="6" xfId="0" applyFont="1" applyFill="1" applyBorder="1"/>
    <xf numFmtId="164" fontId="7" fillId="3" borderId="7" xfId="0" applyNumberFormat="1" applyFont="1" applyFill="1" applyBorder="1"/>
    <xf numFmtId="0" fontId="10" fillId="0" borderId="14" xfId="0" applyFont="1" applyBorder="1"/>
    <xf numFmtId="0" fontId="10" fillId="0" borderId="9" xfId="0" applyFont="1" applyBorder="1"/>
    <xf numFmtId="0" fontId="11" fillId="0" borderId="24" xfId="0" applyFont="1" applyBorder="1"/>
    <xf numFmtId="164" fontId="11" fillId="0" borderId="24" xfId="0" applyNumberFormat="1" applyFont="1" applyBorder="1"/>
    <xf numFmtId="165" fontId="11" fillId="0" borderId="25" xfId="0" applyNumberFormat="1" applyFont="1" applyBorder="1"/>
    <xf numFmtId="0" fontId="11" fillId="0" borderId="27" xfId="0" applyFont="1" applyBorder="1"/>
    <xf numFmtId="164" fontId="11" fillId="0" borderId="27" xfId="0" applyNumberFormat="1" applyFont="1" applyBorder="1"/>
    <xf numFmtId="165" fontId="11" fillId="0" borderId="30" xfId="0" applyNumberFormat="1" applyFont="1" applyBorder="1"/>
    <xf numFmtId="0" fontId="11" fillId="0" borderId="27" xfId="0" applyFont="1" applyBorder="1" applyAlignment="1">
      <alignment horizontal="center"/>
    </xf>
    <xf numFmtId="0" fontId="11" fillId="0" borderId="32" xfId="0" applyFont="1" applyBorder="1"/>
    <xf numFmtId="0" fontId="2" fillId="4" borderId="40" xfId="0" applyFont="1" applyFill="1" applyBorder="1"/>
    <xf numFmtId="0" fontId="2" fillId="4" borderId="41" xfId="0" applyFont="1" applyFill="1" applyBorder="1"/>
    <xf numFmtId="164" fontId="2" fillId="4" borderId="41" xfId="0" applyNumberFormat="1" applyFont="1" applyFill="1" applyBorder="1"/>
    <xf numFmtId="165" fontId="2" fillId="4" borderId="42" xfId="0" applyNumberFormat="1" applyFont="1" applyFill="1" applyBorder="1"/>
    <xf numFmtId="44" fontId="3" fillId="0" borderId="27" xfId="29" applyFont="1" applyBorder="1"/>
    <xf numFmtId="164" fontId="3" fillId="0" borderId="27" xfId="0" applyNumberFormat="1" applyFont="1" applyBorder="1"/>
    <xf numFmtId="167" fontId="7" fillId="3" borderId="15" xfId="0" applyNumberFormat="1" applyFont="1" applyFill="1" applyBorder="1"/>
    <xf numFmtId="0" fontId="13" fillId="4" borderId="43" xfId="0" applyFont="1" applyFill="1" applyBorder="1" applyAlignment="1">
      <alignment horizontal="center" vertical="center"/>
    </xf>
    <xf numFmtId="43" fontId="14" fillId="4" borderId="43" xfId="0" applyNumberFormat="1" applyFont="1" applyFill="1" applyBorder="1" applyAlignment="1">
      <alignment horizontal="center" vertical="center"/>
    </xf>
    <xf numFmtId="168" fontId="14" fillId="4" borderId="43" xfId="0" applyNumberFormat="1" applyFont="1" applyFill="1" applyBorder="1" applyAlignment="1">
      <alignment horizontal="center" vertical="center"/>
    </xf>
    <xf numFmtId="43" fontId="15" fillId="4" borderId="43" xfId="0" applyNumberFormat="1" applyFont="1" applyFill="1" applyBorder="1"/>
    <xf numFmtId="168" fontId="15" fillId="4" borderId="43" xfId="0" applyNumberFormat="1" applyFont="1" applyFill="1" applyBorder="1"/>
    <xf numFmtId="0" fontId="18" fillId="8" borderId="17" xfId="0" applyFont="1" applyFill="1" applyBorder="1"/>
    <xf numFmtId="0" fontId="18" fillId="8" borderId="16" xfId="0" applyFont="1" applyFill="1" applyBorder="1"/>
    <xf numFmtId="0" fontId="10" fillId="8" borderId="17" xfId="0" applyFont="1" applyFill="1" applyBorder="1" applyAlignment="1">
      <alignment horizontal="right"/>
    </xf>
    <xf numFmtId="43" fontId="18" fillId="8" borderId="18" xfId="1" applyFont="1" applyFill="1" applyBorder="1"/>
    <xf numFmtId="164" fontId="18" fillId="8" borderId="17" xfId="0" applyNumberFormat="1" applyFont="1" applyFill="1" applyBorder="1"/>
    <xf numFmtId="165" fontId="18" fillId="8" borderId="18" xfId="0" applyNumberFormat="1" applyFont="1" applyFill="1" applyBorder="1"/>
    <xf numFmtId="0" fontId="18" fillId="8" borderId="40" xfId="0" applyFont="1" applyFill="1" applyBorder="1"/>
    <xf numFmtId="0" fontId="18" fillId="8" borderId="41" xfId="0" applyFont="1" applyFill="1" applyBorder="1"/>
    <xf numFmtId="164" fontId="18" fillId="8" borderId="41" xfId="0" applyNumberFormat="1" applyFont="1" applyFill="1" applyBorder="1"/>
    <xf numFmtId="165" fontId="18" fillId="8" borderId="42" xfId="0" applyNumberFormat="1" applyFont="1" applyFill="1" applyBorder="1"/>
    <xf numFmtId="169" fontId="3" fillId="2" borderId="0" xfId="0" applyNumberFormat="1" applyFont="1" applyFill="1" applyProtection="1">
      <protection hidden="1"/>
    </xf>
    <xf numFmtId="0" fontId="13" fillId="0" borderId="43" xfId="0" applyFont="1" applyBorder="1" applyAlignment="1">
      <alignment horizontal="center" vertical="center"/>
    </xf>
    <xf numFmtId="0" fontId="14" fillId="0" borderId="43" xfId="0" applyFont="1" applyBorder="1" applyAlignment="1">
      <alignment vertical="center"/>
    </xf>
    <xf numFmtId="0" fontId="14" fillId="0" borderId="43" xfId="0" applyFont="1" applyBorder="1" applyAlignment="1">
      <alignment horizontal="center" vertical="center"/>
    </xf>
    <xf numFmtId="43" fontId="14" fillId="0" borderId="43" xfId="1" applyFont="1" applyBorder="1" applyAlignment="1">
      <alignment horizontal="center" vertical="center"/>
    </xf>
    <xf numFmtId="0" fontId="4" fillId="2" borderId="0" xfId="0" applyFont="1" applyFill="1" applyAlignment="1" applyProtection="1">
      <alignment horizontal="center" vertical="center" wrapText="1"/>
      <protection hidden="1"/>
    </xf>
    <xf numFmtId="0" fontId="2" fillId="2" borderId="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7" fillId="6" borderId="9" xfId="0" applyFont="1" applyFill="1" applyBorder="1" applyAlignment="1">
      <alignment horizontal="center"/>
    </xf>
    <xf numFmtId="0" fontId="7" fillId="6" borderId="11" xfId="0" applyFont="1" applyFill="1" applyBorder="1" applyAlignment="1">
      <alignment horizontal="center"/>
    </xf>
    <xf numFmtId="11" fontId="7" fillId="6" borderId="27" xfId="0" applyNumberFormat="1" applyFont="1" applyFill="1" applyBorder="1" applyAlignment="1">
      <alignment horizontal="left" wrapText="1"/>
    </xf>
    <xf numFmtId="0" fontId="2" fillId="4" borderId="6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12" fillId="4" borderId="17" xfId="0" applyFont="1" applyFill="1" applyBorder="1" applyAlignment="1">
      <alignment horizontal="center" wrapText="1"/>
    </xf>
    <xf numFmtId="0" fontId="12" fillId="4" borderId="18" xfId="0" applyFont="1" applyFill="1" applyBorder="1" applyAlignment="1">
      <alignment horizontal="center" wrapText="1"/>
    </xf>
    <xf numFmtId="168" fontId="14" fillId="0" borderId="43" xfId="0" applyNumberFormat="1" applyFont="1" applyBorder="1" applyAlignment="1">
      <alignment vertical="center"/>
    </xf>
    <xf numFmtId="43" fontId="14" fillId="0" borderId="43" xfId="1" applyFont="1" applyFill="1" applyBorder="1" applyAlignment="1">
      <alignment horizontal="center" vertical="center"/>
    </xf>
    <xf numFmtId="0" fontId="14" fillId="0" borderId="43" xfId="0" applyFont="1" applyFill="1" applyBorder="1" applyAlignment="1">
      <alignment vertical="center"/>
    </xf>
    <xf numFmtId="0" fontId="19" fillId="0" borderId="43" xfId="0" applyFont="1" applyBorder="1" applyAlignment="1">
      <alignment horizontal="right" vertical="center"/>
    </xf>
    <xf numFmtId="0" fontId="14" fillId="0" borderId="43" xfId="0" applyFont="1" applyFill="1" applyBorder="1" applyAlignment="1">
      <alignment horizontal="center" vertical="center"/>
    </xf>
    <xf numFmtId="168" fontId="14" fillId="0" borderId="43" xfId="0" applyNumberFormat="1" applyFont="1" applyFill="1" applyBorder="1" applyAlignment="1">
      <alignment vertical="center"/>
    </xf>
    <xf numFmtId="0" fontId="19" fillId="0" borderId="43" xfId="0" applyFont="1" applyBorder="1" applyAlignment="1">
      <alignment horizontal="center" vertical="center"/>
    </xf>
  </cellXfs>
  <cellStyles count="30">
    <cellStyle name="Comma" xfId="1" builtinId="3"/>
    <cellStyle name="Currency" xfId="29" builtinId="4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Normal" xfId="0" builtinId="0"/>
    <cellStyle name="Percent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1044623</xdr:colOff>
      <xdr:row>4</xdr:row>
      <xdr:rowOff>155440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EBB2D2-E66E-4D15-9C8A-FDC03A22D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11448" cy="8698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drigogiraldelli\Dropbox\2.%20Sky%20Marketing%20Digital\4.%20Lan&#231;amentos\LS%20Set15%20CIC\Simula&#231;&#227;o%20de%20Custos%20IPP%20preenchi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Painel"/>
      <sheetName val="2. Produtos"/>
      <sheetName val="3. Despesas Aduaneiras"/>
      <sheetName val="4. Custo Unitário"/>
      <sheetName val="5. Resumo Operação"/>
      <sheetName val="Master"/>
    </sheetNames>
    <sheetDataSet>
      <sheetData sheetId="0"/>
      <sheetData sheetId="1" refreshError="1"/>
      <sheetData sheetId="2"/>
      <sheetData sheetId="3" refreshError="1"/>
      <sheetData sheetId="4" refreshError="1"/>
      <sheetData sheetId="5">
        <row r="1">
          <cell r="E1">
            <v>2.65</v>
          </cell>
        </row>
        <row r="112">
          <cell r="D112">
            <v>10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62DFD-5910-463C-9D96-941CCDC5B88F}">
  <dimension ref="A1:O149"/>
  <sheetViews>
    <sheetView showGridLines="0" tabSelected="1" zoomScale="70" zoomScaleNormal="70" zoomScalePageLayoutView="150" workbookViewId="0">
      <selection activeCell="I60" sqref="B2:I60"/>
    </sheetView>
  </sheetViews>
  <sheetFormatPr defaultColWidth="0" defaultRowHeight="18.75" customHeight="1" zeroHeight="1" x14ac:dyDescent="0.3"/>
  <cols>
    <col min="1" max="1" width="1.5" style="1" customWidth="1"/>
    <col min="2" max="6" width="15.125" style="1" customWidth="1"/>
    <col min="7" max="7" width="19.875" style="1" customWidth="1"/>
    <col min="8" max="8" width="17.125" style="1" bestFit="1" customWidth="1"/>
    <col min="9" max="9" width="17.375" style="1" bestFit="1" customWidth="1"/>
    <col min="10" max="10" width="1.625" style="1" customWidth="1"/>
    <col min="11" max="11" width="11" style="1" hidden="1" customWidth="1"/>
    <col min="12" max="13" width="11.5" style="1" hidden="1" customWidth="1"/>
    <col min="14" max="14" width="11" style="1" hidden="1" customWidth="1"/>
    <col min="15" max="15" width="11.5" style="1" hidden="1" customWidth="1"/>
    <col min="16" max="16384" width="11" style="1" hidden="1"/>
  </cols>
  <sheetData>
    <row r="1" spans="1:10" ht="8.1" customHeight="1" x14ac:dyDescent="0.3">
      <c r="A1" s="103"/>
      <c r="B1" s="104"/>
      <c r="C1" s="104"/>
      <c r="D1" s="104"/>
      <c r="E1" s="104"/>
      <c r="F1" s="104"/>
      <c r="G1" s="104"/>
      <c r="H1" s="104"/>
      <c r="I1" s="104"/>
      <c r="J1" s="105"/>
    </row>
    <row r="2" spans="1:10" x14ac:dyDescent="0.3">
      <c r="A2" s="106"/>
      <c r="B2" s="107"/>
      <c r="C2" s="107"/>
      <c r="D2" s="108"/>
      <c r="E2" s="107"/>
      <c r="F2" s="107"/>
      <c r="G2" s="107"/>
      <c r="H2" s="107"/>
      <c r="I2" s="109"/>
      <c r="J2" s="110"/>
    </row>
    <row r="3" spans="1:10" ht="15" customHeight="1" x14ac:dyDescent="0.3">
      <c r="A3" s="106"/>
      <c r="B3" s="107"/>
      <c r="C3" s="107"/>
      <c r="D3" s="150" t="s">
        <v>20</v>
      </c>
      <c r="E3" s="150"/>
      <c r="F3" s="150"/>
      <c r="G3" s="150"/>
      <c r="H3" s="150"/>
      <c r="I3" s="150"/>
      <c r="J3" s="110"/>
    </row>
    <row r="4" spans="1:10" ht="15" customHeight="1" x14ac:dyDescent="0.3">
      <c r="A4" s="106"/>
      <c r="B4" s="107"/>
      <c r="C4" s="107"/>
      <c r="D4" s="150"/>
      <c r="E4" s="150"/>
      <c r="F4" s="150"/>
      <c r="G4" s="150"/>
      <c r="H4" s="150"/>
      <c r="I4" s="150"/>
      <c r="J4" s="110"/>
    </row>
    <row r="5" spans="1:10" x14ac:dyDescent="0.3">
      <c r="A5" s="106"/>
      <c r="B5" s="107"/>
      <c r="C5" s="107"/>
      <c r="D5" s="150"/>
      <c r="E5" s="150"/>
      <c r="F5" s="150"/>
      <c r="G5" s="150"/>
      <c r="H5" s="150"/>
      <c r="I5" s="150"/>
      <c r="J5" s="110"/>
    </row>
    <row r="6" spans="1:10" ht="18.95" customHeight="1" x14ac:dyDescent="0.3">
      <c r="A6" s="106"/>
      <c r="B6" s="107"/>
      <c r="C6" s="107"/>
      <c r="D6" s="107"/>
      <c r="E6" s="107"/>
      <c r="F6" s="107"/>
      <c r="G6" s="107"/>
      <c r="H6" s="107"/>
      <c r="I6" s="107"/>
      <c r="J6" s="110"/>
    </row>
    <row r="7" spans="1:10" ht="18.95" customHeight="1" x14ac:dyDescent="0.3">
      <c r="A7" s="106"/>
      <c r="B7" s="107" t="s">
        <v>21</v>
      </c>
      <c r="C7" s="107"/>
      <c r="D7" s="107"/>
      <c r="E7" s="107"/>
      <c r="F7" s="107"/>
      <c r="G7" s="107"/>
      <c r="H7" s="107"/>
      <c r="I7" s="107"/>
      <c r="J7" s="110"/>
    </row>
    <row r="8" spans="1:10" ht="18.95" customHeight="1" x14ac:dyDescent="0.3">
      <c r="A8" s="106"/>
      <c r="B8" s="107" t="s">
        <v>35</v>
      </c>
      <c r="C8" s="107"/>
      <c r="D8" s="107"/>
      <c r="E8" s="107"/>
      <c r="F8" s="107"/>
      <c r="G8" s="107"/>
      <c r="H8" s="107"/>
      <c r="I8" s="107"/>
      <c r="J8" s="110"/>
    </row>
    <row r="9" spans="1:10" ht="18.95" customHeight="1" x14ac:dyDescent="0.3">
      <c r="A9" s="106"/>
      <c r="B9" s="107" t="s">
        <v>22</v>
      </c>
      <c r="C9" s="107"/>
      <c r="D9" s="107"/>
      <c r="E9" s="107"/>
      <c r="F9" s="107"/>
      <c r="G9" s="107"/>
      <c r="H9" s="107"/>
      <c r="I9" s="107"/>
      <c r="J9" s="110"/>
    </row>
    <row r="10" spans="1:10" ht="18.95" customHeight="1" x14ac:dyDescent="0.3">
      <c r="A10" s="106"/>
      <c r="B10" s="107" t="s">
        <v>23</v>
      </c>
      <c r="C10" s="107"/>
      <c r="D10" s="107"/>
      <c r="E10" s="107"/>
      <c r="F10" s="107"/>
      <c r="G10" s="107"/>
      <c r="H10" s="107" t="s">
        <v>101</v>
      </c>
      <c r="I10" s="145">
        <v>46286</v>
      </c>
      <c r="J10" s="110"/>
    </row>
    <row r="11" spans="1:10" ht="18.95" customHeight="1" x14ac:dyDescent="0.3">
      <c r="A11" s="106"/>
      <c r="B11" s="107"/>
      <c r="C11" s="107"/>
      <c r="D11" s="107"/>
      <c r="E11" s="107"/>
      <c r="F11" s="107"/>
      <c r="G11" s="107"/>
      <c r="H11" s="107"/>
      <c r="I11" s="107"/>
      <c r="J11" s="110"/>
    </row>
    <row r="12" spans="1:10" ht="18.95" hidden="1" customHeight="1" x14ac:dyDescent="0.3">
      <c r="A12" s="2"/>
      <c r="B12" s="5" t="s">
        <v>24</v>
      </c>
      <c r="C12" s="5"/>
      <c r="D12" s="5"/>
      <c r="E12" s="5"/>
      <c r="F12" s="5"/>
      <c r="G12" s="5"/>
      <c r="H12" s="5"/>
      <c r="I12" s="5"/>
      <c r="J12" s="4"/>
    </row>
    <row r="13" spans="1:10" ht="9" hidden="1" customHeight="1" x14ac:dyDescent="0.3">
      <c r="A13" s="2"/>
      <c r="B13" s="3"/>
      <c r="C13" s="3"/>
      <c r="D13" s="3"/>
      <c r="E13" s="3"/>
      <c r="F13" s="3"/>
      <c r="G13" s="3"/>
      <c r="H13" s="3"/>
      <c r="I13" s="3"/>
      <c r="J13" s="4"/>
    </row>
    <row r="14" spans="1:10" ht="20.100000000000001" hidden="1" customHeight="1" x14ac:dyDescent="0.3">
      <c r="A14" s="2"/>
      <c r="B14" s="6" t="s">
        <v>25</v>
      </c>
      <c r="C14" s="7"/>
      <c r="D14" s="7"/>
      <c r="E14" s="7"/>
      <c r="F14" s="6" t="s">
        <v>0</v>
      </c>
      <c r="G14" s="7"/>
      <c r="H14" s="8"/>
      <c r="I14" s="9"/>
      <c r="J14" s="4"/>
    </row>
    <row r="15" spans="1:10" ht="20.100000000000001" hidden="1" customHeight="1" x14ac:dyDescent="0.3">
      <c r="A15" s="2"/>
      <c r="B15" s="10"/>
      <c r="C15" s="11"/>
      <c r="D15" s="11"/>
      <c r="E15" s="11"/>
      <c r="F15" s="10"/>
      <c r="G15" s="11"/>
      <c r="H15" s="11"/>
      <c r="I15" s="12"/>
      <c r="J15" s="4"/>
    </row>
    <row r="16" spans="1:10" ht="20.100000000000001" hidden="1" customHeight="1" x14ac:dyDescent="0.3">
      <c r="A16" s="2"/>
      <c r="B16" s="6" t="s">
        <v>26</v>
      </c>
      <c r="C16" s="7"/>
      <c r="D16" s="7"/>
      <c r="E16" s="13"/>
      <c r="F16" s="6" t="s">
        <v>27</v>
      </c>
      <c r="G16" s="7"/>
      <c r="H16" s="7"/>
      <c r="I16" s="13"/>
      <c r="J16" s="4"/>
    </row>
    <row r="17" spans="1:15" ht="20.100000000000001" hidden="1" customHeight="1" x14ac:dyDescent="0.3">
      <c r="A17" s="2"/>
      <c r="B17" s="10"/>
      <c r="C17" s="11"/>
      <c r="D17" s="11"/>
      <c r="E17" s="12"/>
      <c r="F17" s="10"/>
      <c r="G17" s="11"/>
      <c r="H17" s="11"/>
      <c r="I17" s="12"/>
      <c r="J17" s="4"/>
    </row>
    <row r="18" spans="1:15" ht="20.100000000000001" hidden="1" customHeight="1" x14ac:dyDescent="0.3">
      <c r="A18" s="2"/>
      <c r="B18" s="14" t="s">
        <v>1</v>
      </c>
      <c r="C18" s="15" t="s">
        <v>2</v>
      </c>
      <c r="D18" s="14" t="s">
        <v>3</v>
      </c>
      <c r="E18" s="16" t="s">
        <v>4</v>
      </c>
      <c r="F18" s="16" t="s">
        <v>5</v>
      </c>
      <c r="G18" s="151" t="s">
        <v>6</v>
      </c>
      <c r="H18" s="152"/>
      <c r="I18" s="17" t="s">
        <v>7</v>
      </c>
      <c r="J18" s="4"/>
    </row>
    <row r="19" spans="1:15" ht="20.100000000000001" hidden="1" customHeight="1" x14ac:dyDescent="0.3">
      <c r="A19" s="2"/>
      <c r="B19" s="18"/>
      <c r="C19" s="18"/>
      <c r="D19" s="19"/>
      <c r="E19" s="20"/>
      <c r="F19" s="20"/>
      <c r="G19" s="153"/>
      <c r="H19" s="154"/>
      <c r="I19" s="21"/>
      <c r="J19" s="4"/>
    </row>
    <row r="20" spans="1:15" ht="8.1" hidden="1" customHeight="1" x14ac:dyDescent="0.3">
      <c r="A20" s="2"/>
      <c r="B20" s="3"/>
      <c r="C20" s="3"/>
      <c r="D20" s="3"/>
      <c r="E20" s="3"/>
      <c r="F20" s="3"/>
      <c r="G20" s="3"/>
      <c r="H20" s="3"/>
      <c r="I20" s="3"/>
      <c r="J20" s="4"/>
    </row>
    <row r="21" spans="1:15" ht="20.100000000000001" customHeight="1" x14ac:dyDescent="0.3">
      <c r="A21" s="2"/>
      <c r="B21" s="46" t="s">
        <v>28</v>
      </c>
      <c r="C21" s="102"/>
      <c r="D21" s="102"/>
      <c r="E21" s="102"/>
      <c r="F21" s="102"/>
      <c r="G21" s="48" t="s">
        <v>8</v>
      </c>
      <c r="H21" s="48" t="s">
        <v>9</v>
      </c>
      <c r="I21" s="49" t="s">
        <v>10</v>
      </c>
      <c r="J21" s="4"/>
    </row>
    <row r="22" spans="1:15" ht="20.100000000000001" customHeight="1" x14ac:dyDescent="0.3">
      <c r="A22" s="2"/>
      <c r="B22" s="22" t="s">
        <v>11</v>
      </c>
      <c r="C22" s="23"/>
      <c r="D22" s="23"/>
      <c r="E22" s="23"/>
      <c r="F22" s="23"/>
      <c r="G22" s="23"/>
      <c r="H22" s="24">
        <v>1</v>
      </c>
      <c r="I22" s="25">
        <v>5.15</v>
      </c>
      <c r="J22" s="4"/>
    </row>
    <row r="23" spans="1:15" ht="20.100000000000001" customHeight="1" x14ac:dyDescent="0.3">
      <c r="A23" s="2"/>
      <c r="B23" s="26" t="s">
        <v>29</v>
      </c>
      <c r="C23" s="27"/>
      <c r="D23" s="155" t="s">
        <v>103</v>
      </c>
      <c r="E23" s="155"/>
      <c r="F23" s="155"/>
      <c r="G23" s="155"/>
      <c r="H23" s="29"/>
      <c r="I23" s="30"/>
      <c r="J23" s="4"/>
    </row>
    <row r="24" spans="1:15" ht="20.100000000000001" customHeight="1" x14ac:dyDescent="0.3">
      <c r="A24" s="2"/>
      <c r="B24" s="26" t="s">
        <v>30</v>
      </c>
      <c r="C24" s="27"/>
      <c r="D24" s="27"/>
      <c r="E24" s="27"/>
      <c r="F24" s="128"/>
      <c r="G24" s="127"/>
      <c r="H24" s="31">
        <f>base!J22</f>
        <v>259150.44249999998</v>
      </c>
      <c r="I24" s="32">
        <f>H24*I22</f>
        <v>1334624.7788750001</v>
      </c>
      <c r="J24" s="4"/>
    </row>
    <row r="25" spans="1:15" ht="20.100000000000001" customHeight="1" x14ac:dyDescent="0.3">
      <c r="A25" s="2"/>
      <c r="B25" s="26" t="s">
        <v>31</v>
      </c>
      <c r="C25" s="27"/>
      <c r="D25" s="27"/>
      <c r="E25" s="27"/>
      <c r="F25" s="33">
        <v>1</v>
      </c>
      <c r="G25" s="27"/>
      <c r="H25" s="29"/>
      <c r="I25" s="30"/>
      <c r="J25" s="4"/>
    </row>
    <row r="26" spans="1:15" ht="20.100000000000001" customHeight="1" x14ac:dyDescent="0.3">
      <c r="A26" s="2"/>
      <c r="B26" s="26" t="s">
        <v>32</v>
      </c>
      <c r="C26" s="27"/>
      <c r="D26" s="27"/>
      <c r="E26" s="27"/>
      <c r="F26" s="27"/>
      <c r="G26" s="128"/>
      <c r="H26" s="34">
        <f>H24*F25</f>
        <v>259150.44249999998</v>
      </c>
      <c r="I26" s="32">
        <f>H26*I22</f>
        <v>1334624.7788750001</v>
      </c>
      <c r="J26" s="4"/>
    </row>
    <row r="27" spans="1:15" ht="20.100000000000001" customHeight="1" x14ac:dyDescent="0.3">
      <c r="A27" s="2"/>
      <c r="B27" s="26" t="s">
        <v>84</v>
      </c>
      <c r="C27" s="27"/>
      <c r="D27" s="27"/>
      <c r="E27" s="27"/>
      <c r="F27" s="27"/>
      <c r="G27" s="27"/>
      <c r="H27" s="31">
        <f>base!I22*1</f>
        <v>3055.3182000000015</v>
      </c>
      <c r="I27" s="32">
        <f>H27*I22</f>
        <v>15734.88873000001</v>
      </c>
      <c r="J27" s="4"/>
    </row>
    <row r="28" spans="1:15" ht="20.100000000000001" customHeight="1" x14ac:dyDescent="0.3">
      <c r="A28" s="2"/>
      <c r="B28" s="35" t="s">
        <v>33</v>
      </c>
      <c r="C28" s="36"/>
      <c r="D28" s="36"/>
      <c r="E28" s="36"/>
      <c r="F28" s="36"/>
      <c r="G28" s="36"/>
      <c r="H28" s="37">
        <f>SUM(H26+H27)*0.05%</f>
        <v>131.10288034999999</v>
      </c>
      <c r="I28" s="38">
        <f>H28*I22</f>
        <v>675.17983380249996</v>
      </c>
      <c r="J28" s="4"/>
    </row>
    <row r="29" spans="1:15" ht="20.100000000000001" customHeight="1" x14ac:dyDescent="0.3">
      <c r="A29" s="2"/>
      <c r="B29" s="39" t="s">
        <v>34</v>
      </c>
      <c r="C29" s="40"/>
      <c r="D29" s="40"/>
      <c r="E29" s="40"/>
      <c r="F29" s="40"/>
      <c r="G29" s="40"/>
      <c r="H29" s="41">
        <f>H26+H27+H28</f>
        <v>262336.86358035001</v>
      </c>
      <c r="I29" s="42">
        <f>I26+I27+I28</f>
        <v>1351034.8474388025</v>
      </c>
      <c r="J29" s="4"/>
      <c r="L29" s="43"/>
      <c r="M29" s="43"/>
      <c r="O29" s="43"/>
    </row>
    <row r="30" spans="1:15" ht="6" customHeight="1" x14ac:dyDescent="0.3">
      <c r="A30" s="2"/>
      <c r="B30" s="3"/>
      <c r="C30" s="3"/>
      <c r="D30" s="3"/>
      <c r="E30" s="3"/>
      <c r="F30" s="3"/>
      <c r="G30" s="3"/>
      <c r="H30" s="44"/>
      <c r="I30" s="45"/>
      <c r="J30" s="4"/>
    </row>
    <row r="31" spans="1:15" ht="20.100000000000001" customHeight="1" x14ac:dyDescent="0.3">
      <c r="A31" s="2"/>
      <c r="B31" s="46" t="s">
        <v>55</v>
      </c>
      <c r="C31" s="47"/>
      <c r="D31" s="47"/>
      <c r="E31" s="47"/>
      <c r="F31" s="47"/>
      <c r="G31" s="48" t="s">
        <v>8</v>
      </c>
      <c r="H31" s="48" t="s">
        <v>9</v>
      </c>
      <c r="I31" s="49" t="s">
        <v>10</v>
      </c>
      <c r="J31" s="4"/>
    </row>
    <row r="32" spans="1:15" ht="20.100000000000001" customHeight="1" x14ac:dyDescent="0.3">
      <c r="A32" s="2"/>
      <c r="B32" s="50" t="s">
        <v>80</v>
      </c>
      <c r="C32" s="51"/>
      <c r="D32" s="51"/>
      <c r="E32" s="51"/>
      <c r="F32" s="51"/>
      <c r="G32" s="51"/>
      <c r="H32" s="52"/>
      <c r="I32" s="53"/>
      <c r="J32" s="4"/>
    </row>
    <row r="33" spans="1:13" ht="20.100000000000001" customHeight="1" x14ac:dyDescent="0.3">
      <c r="A33" s="2"/>
      <c r="B33" s="54" t="s">
        <v>36</v>
      </c>
      <c r="C33" s="27"/>
      <c r="D33" s="27"/>
      <c r="E33" s="27"/>
      <c r="F33" s="27"/>
      <c r="G33" s="55"/>
      <c r="H33" s="56">
        <f>'Despesas de Importação'!H38</f>
        <v>0</v>
      </c>
      <c r="I33" s="57">
        <f>H33*I22</f>
        <v>0</v>
      </c>
      <c r="J33" s="4"/>
    </row>
    <row r="34" spans="1:13" ht="20.100000000000001" customHeight="1" x14ac:dyDescent="0.3">
      <c r="A34" s="2"/>
      <c r="B34" s="58" t="s">
        <v>37</v>
      </c>
      <c r="C34" s="36"/>
      <c r="D34" s="36"/>
      <c r="E34" s="36"/>
      <c r="F34" s="36"/>
      <c r="G34" s="59"/>
      <c r="H34" s="60">
        <f>I34/I22</f>
        <v>4223.903830164897</v>
      </c>
      <c r="I34" s="61">
        <f>'Despesas de Importação'!I38</f>
        <v>21753.104725349222</v>
      </c>
      <c r="J34" s="4"/>
    </row>
    <row r="35" spans="1:13" ht="20.100000000000001" customHeight="1" x14ac:dyDescent="0.3">
      <c r="A35" s="2"/>
      <c r="B35" s="39" t="s">
        <v>38</v>
      </c>
      <c r="C35" s="40"/>
      <c r="D35" s="40"/>
      <c r="E35" s="40"/>
      <c r="F35" s="40"/>
      <c r="G35" s="40"/>
      <c r="H35" s="41">
        <f>H33+H34</f>
        <v>4223.903830164897</v>
      </c>
      <c r="I35" s="42">
        <f>I33+I34</f>
        <v>21753.104725349222</v>
      </c>
      <c r="J35" s="4"/>
    </row>
    <row r="36" spans="1:13" ht="6" customHeight="1" x14ac:dyDescent="0.3">
      <c r="A36" s="2"/>
      <c r="H36" s="62"/>
      <c r="I36" s="43"/>
      <c r="J36" s="4"/>
    </row>
    <row r="37" spans="1:13" ht="20.100000000000001" customHeight="1" x14ac:dyDescent="0.3">
      <c r="A37" s="2"/>
      <c r="B37" s="46" t="s">
        <v>85</v>
      </c>
      <c r="C37" s="47"/>
      <c r="D37" s="47"/>
      <c r="E37" s="47"/>
      <c r="F37" s="47"/>
      <c r="G37" s="48" t="s">
        <v>8</v>
      </c>
      <c r="H37" s="48" t="s">
        <v>9</v>
      </c>
      <c r="I37" s="49" t="s">
        <v>10</v>
      </c>
      <c r="J37" s="4"/>
    </row>
    <row r="38" spans="1:13" ht="20.100000000000001" customHeight="1" x14ac:dyDescent="0.3">
      <c r="A38" s="2"/>
      <c r="B38" s="22" t="s">
        <v>12</v>
      </c>
      <c r="C38" s="23"/>
      <c r="D38" s="23"/>
      <c r="E38" s="63" t="s">
        <v>39</v>
      </c>
      <c r="F38" s="63"/>
      <c r="G38" s="64">
        <v>0.18</v>
      </c>
      <c r="H38" s="24"/>
      <c r="I38" s="65">
        <f>G38*I29</f>
        <v>243186.27253898443</v>
      </c>
      <c r="J38" s="4"/>
    </row>
    <row r="39" spans="1:13" ht="20.100000000000001" customHeight="1" x14ac:dyDescent="0.3">
      <c r="A39" s="2"/>
      <c r="B39" s="26" t="s">
        <v>13</v>
      </c>
      <c r="C39" s="27"/>
      <c r="D39" s="27"/>
      <c r="E39" s="28" t="s">
        <v>39</v>
      </c>
      <c r="F39" s="28"/>
      <c r="G39" s="66">
        <v>9.7500000000000003E-2</v>
      </c>
      <c r="H39" s="34"/>
      <c r="I39" s="32">
        <f>(I38+I29)*G39</f>
        <v>155436.55919783423</v>
      </c>
      <c r="J39" s="4"/>
      <c r="L39" s="43"/>
      <c r="M39" s="43"/>
    </row>
    <row r="40" spans="1:13" ht="20.100000000000001" customHeight="1" x14ac:dyDescent="0.3">
      <c r="A40" s="2"/>
      <c r="B40" s="26" t="s">
        <v>14</v>
      </c>
      <c r="C40" s="27"/>
      <c r="D40" s="27"/>
      <c r="E40" s="28" t="s">
        <v>39</v>
      </c>
      <c r="F40" s="28"/>
      <c r="G40" s="66">
        <v>2.1000000000000001E-2</v>
      </c>
      <c r="H40" s="34"/>
      <c r="I40" s="32">
        <f>I29*G40</f>
        <v>28371.731796214855</v>
      </c>
      <c r="J40" s="4"/>
    </row>
    <row r="41" spans="1:13" ht="20.100000000000001" customHeight="1" x14ac:dyDescent="0.3">
      <c r="A41" s="2"/>
      <c r="B41" s="35" t="s">
        <v>15</v>
      </c>
      <c r="C41" s="36"/>
      <c r="D41" s="36"/>
      <c r="E41" s="67" t="s">
        <v>39</v>
      </c>
      <c r="F41" s="67"/>
      <c r="G41" s="68">
        <v>0.10249999999999999</v>
      </c>
      <c r="H41" s="69"/>
      <c r="I41" s="38">
        <f>I29*G41</f>
        <v>138481.07186247726</v>
      </c>
      <c r="J41" s="4"/>
    </row>
    <row r="42" spans="1:13" ht="20.100000000000001" customHeight="1" x14ac:dyDescent="0.3">
      <c r="A42" s="2"/>
      <c r="B42" s="39" t="s">
        <v>40</v>
      </c>
      <c r="C42" s="40"/>
      <c r="D42" s="40"/>
      <c r="E42" s="40"/>
      <c r="F42" s="40"/>
      <c r="G42" s="70">
        <f>I42/I29</f>
        <v>0.41855000000000003</v>
      </c>
      <c r="H42" s="41">
        <f>SUM(H38:H41)</f>
        <v>0</v>
      </c>
      <c r="I42" s="42">
        <f>SUM(I38:I41)</f>
        <v>565475.63539551082</v>
      </c>
      <c r="J42" s="4"/>
    </row>
    <row r="43" spans="1:13" ht="5.0999999999999996" customHeight="1" x14ac:dyDescent="0.3">
      <c r="A43" s="2"/>
      <c r="B43" s="3"/>
      <c r="C43" s="3"/>
      <c r="D43" s="3"/>
      <c r="E43" s="3"/>
      <c r="F43" s="3"/>
      <c r="G43" s="3"/>
      <c r="H43" s="44"/>
      <c r="I43" s="45"/>
      <c r="J43" s="4"/>
    </row>
    <row r="44" spans="1:13" ht="20.100000000000001" customHeight="1" x14ac:dyDescent="0.3">
      <c r="A44" s="2"/>
      <c r="B44" s="71" t="s">
        <v>56</v>
      </c>
      <c r="C44" s="72"/>
      <c r="D44" s="72"/>
      <c r="E44" s="72"/>
      <c r="F44" s="72"/>
      <c r="G44" s="48" t="s">
        <v>8</v>
      </c>
      <c r="H44" s="48" t="s">
        <v>9</v>
      </c>
      <c r="I44" s="49" t="s">
        <v>10</v>
      </c>
      <c r="J44" s="4"/>
    </row>
    <row r="45" spans="1:13" ht="20.100000000000001" customHeight="1" x14ac:dyDescent="0.3">
      <c r="A45" s="2"/>
      <c r="B45" s="73" t="s">
        <v>41</v>
      </c>
      <c r="E45" s="74" t="s">
        <v>39</v>
      </c>
      <c r="F45" s="74"/>
      <c r="G45" s="75">
        <v>0.18</v>
      </c>
      <c r="H45" s="76">
        <f>I45/I22</f>
        <v>81688.820011881689</v>
      </c>
      <c r="I45" s="129">
        <f>SUM((I29+I38+I39+I40+I41)/0.82)*G45</f>
        <v>420697.42306119076</v>
      </c>
      <c r="J45" s="4"/>
    </row>
    <row r="46" spans="1:13" ht="20.100000000000001" customHeight="1" x14ac:dyDescent="0.3">
      <c r="A46" s="2"/>
      <c r="B46" s="39" t="s">
        <v>42</v>
      </c>
      <c r="C46" s="40"/>
      <c r="D46" s="40"/>
      <c r="E46" s="40"/>
      <c r="F46" s="40"/>
      <c r="G46" s="70">
        <f>I46/I29</f>
        <v>0.31138902439024391</v>
      </c>
      <c r="H46" s="41"/>
      <c r="I46" s="42">
        <f>I45</f>
        <v>420697.42306119076</v>
      </c>
      <c r="J46" s="4"/>
    </row>
    <row r="47" spans="1:13" ht="6" customHeight="1" x14ac:dyDescent="0.3">
      <c r="A47" s="2"/>
      <c r="B47" s="3"/>
      <c r="C47" s="3"/>
      <c r="D47" s="3"/>
      <c r="E47" s="3"/>
      <c r="F47" s="3"/>
      <c r="G47" s="3"/>
      <c r="H47" s="44"/>
      <c r="I47" s="45"/>
      <c r="J47" s="4"/>
    </row>
    <row r="48" spans="1:13" ht="20.100000000000001" customHeight="1" x14ac:dyDescent="0.3">
      <c r="A48" s="2"/>
      <c r="B48" s="78" t="s">
        <v>43</v>
      </c>
      <c r="C48" s="79"/>
      <c r="D48" s="79"/>
      <c r="E48" s="79"/>
      <c r="F48" s="79"/>
      <c r="G48" s="80" t="s">
        <v>8</v>
      </c>
      <c r="H48" s="80" t="s">
        <v>9</v>
      </c>
      <c r="I48" s="81" t="s">
        <v>10</v>
      </c>
      <c r="J48" s="4"/>
    </row>
    <row r="49" spans="1:10" ht="20.100000000000001" customHeight="1" x14ac:dyDescent="0.3">
      <c r="A49" s="2"/>
      <c r="B49" s="82" t="s">
        <v>16</v>
      </c>
      <c r="C49" s="83"/>
      <c r="D49" s="83"/>
      <c r="E49" s="83"/>
      <c r="F49" s="83"/>
      <c r="G49" s="84">
        <f>I49/I49</f>
        <v>1</v>
      </c>
      <c r="H49" s="85"/>
      <c r="I49" s="86">
        <f>I26</f>
        <v>1334624.7788750001</v>
      </c>
      <c r="J49" s="4"/>
    </row>
    <row r="50" spans="1:10" ht="20.100000000000001" customHeight="1" x14ac:dyDescent="0.3">
      <c r="A50" s="2"/>
      <c r="B50" s="73" t="s">
        <v>81</v>
      </c>
      <c r="G50" s="87">
        <f>I50/I$49</f>
        <v>1.2295642058762843E-2</v>
      </c>
      <c r="H50" s="76"/>
      <c r="I50" s="77">
        <f>I27+I28</f>
        <v>16410.06856380251</v>
      </c>
      <c r="J50" s="4"/>
    </row>
    <row r="51" spans="1:10" ht="20.100000000000001" customHeight="1" x14ac:dyDescent="0.3">
      <c r="A51" s="2"/>
      <c r="B51" s="73" t="s">
        <v>17</v>
      </c>
      <c r="G51" s="87">
        <f t="shared" ref="G51:G53" si="0">I51/I$49</f>
        <v>1.6299041550603941E-2</v>
      </c>
      <c r="H51" s="76"/>
      <c r="I51" s="77">
        <f>I35</f>
        <v>21753.104725349222</v>
      </c>
      <c r="J51" s="4"/>
    </row>
    <row r="52" spans="1:10" ht="20.100000000000001" customHeight="1" x14ac:dyDescent="0.3">
      <c r="A52" s="2"/>
      <c r="B52" s="113" t="s">
        <v>78</v>
      </c>
      <c r="G52" s="87">
        <f t="shared" si="0"/>
        <v>0.18221321557057729</v>
      </c>
      <c r="H52" s="76"/>
      <c r="I52" s="77">
        <f>I38</f>
        <v>243186.27253898443</v>
      </c>
      <c r="J52" s="4"/>
    </row>
    <row r="53" spans="1:10" ht="19.5" customHeight="1" x14ac:dyDescent="0.3">
      <c r="A53" s="2"/>
      <c r="B53" s="78" t="s">
        <v>44</v>
      </c>
      <c r="C53" s="88"/>
      <c r="D53" s="88"/>
      <c r="E53" s="78"/>
      <c r="F53" s="89" t="s">
        <v>18</v>
      </c>
      <c r="G53" s="90">
        <f t="shared" si="0"/>
        <v>1.210807899179944</v>
      </c>
      <c r="H53" s="91"/>
      <c r="I53" s="92">
        <f>I49+I50+I51+I52</f>
        <v>1615974.2247031361</v>
      </c>
      <c r="J53" s="4"/>
    </row>
    <row r="54" spans="1:10" ht="6" customHeight="1" x14ac:dyDescent="0.3">
      <c r="A54" s="2"/>
      <c r="H54" s="62"/>
      <c r="I54" s="43"/>
      <c r="J54" s="4"/>
    </row>
    <row r="55" spans="1:10" x14ac:dyDescent="0.3">
      <c r="A55" s="2"/>
      <c r="B55" s="3"/>
      <c r="C55" s="3"/>
      <c r="D55" s="3"/>
      <c r="E55" s="3"/>
      <c r="F55" s="3"/>
      <c r="G55" s="3"/>
      <c r="H55" s="44"/>
      <c r="I55" s="45"/>
      <c r="J55" s="4"/>
    </row>
    <row r="56" spans="1:10" x14ac:dyDescent="0.3">
      <c r="A56" s="2"/>
      <c r="B56" s="136" t="s">
        <v>98</v>
      </c>
      <c r="C56" s="135"/>
      <c r="D56" s="135"/>
      <c r="E56" s="136"/>
      <c r="F56" s="137" t="s">
        <v>18</v>
      </c>
      <c r="G56" s="138">
        <f t="shared" ref="G56" si="1">I56/I$49</f>
        <v>1.7675087769682356</v>
      </c>
      <c r="H56" s="139"/>
      <c r="I56" s="140">
        <f>I49+I50+I51+I52+I39+I40+I41+I45</f>
        <v>2358961.0106208534</v>
      </c>
      <c r="J56" s="4"/>
    </row>
    <row r="57" spans="1:10" ht="19.5" thickBot="1" x14ac:dyDescent="0.35">
      <c r="A57" s="2"/>
      <c r="B57" s="3"/>
      <c r="C57" s="3"/>
      <c r="D57" s="3"/>
      <c r="E57" s="3"/>
      <c r="F57" s="3"/>
      <c r="G57" s="3"/>
      <c r="H57" s="44"/>
      <c r="I57" s="45"/>
      <c r="J57" s="4"/>
    </row>
    <row r="58" spans="1:10" ht="19.5" thickBot="1" x14ac:dyDescent="0.35">
      <c r="A58" s="2"/>
      <c r="B58" s="123" t="s">
        <v>99</v>
      </c>
      <c r="C58" s="124"/>
      <c r="D58" s="124"/>
      <c r="E58" s="124"/>
      <c r="F58" s="124"/>
      <c r="G58" s="124"/>
      <c r="H58" s="125"/>
      <c r="I58" s="126">
        <f>I53/$F$25</f>
        <v>1615974.2247031361</v>
      </c>
      <c r="J58" s="4"/>
    </row>
    <row r="59" spans="1:10" ht="19.5" thickBot="1" x14ac:dyDescent="0.35">
      <c r="A59" s="2"/>
      <c r="B59" s="3"/>
      <c r="C59" s="3"/>
      <c r="D59" s="3"/>
      <c r="E59" s="3"/>
      <c r="F59" s="3"/>
      <c r="G59" s="3"/>
      <c r="H59" s="44"/>
      <c r="I59" s="45"/>
      <c r="J59" s="4"/>
    </row>
    <row r="60" spans="1:10" ht="19.5" thickBot="1" x14ac:dyDescent="0.35">
      <c r="A60" s="2"/>
      <c r="B60" s="141" t="s">
        <v>100</v>
      </c>
      <c r="C60" s="142"/>
      <c r="D60" s="142"/>
      <c r="E60" s="142"/>
      <c r="F60" s="142"/>
      <c r="G60" s="142"/>
      <c r="H60" s="143"/>
      <c r="I60" s="144">
        <f>I56/$F$25</f>
        <v>2358961.0106208534</v>
      </c>
      <c r="J60" s="4"/>
    </row>
    <row r="61" spans="1:10" ht="19.5" thickBot="1" x14ac:dyDescent="0.35">
      <c r="A61" s="97"/>
      <c r="B61" s="98"/>
      <c r="C61" s="98"/>
      <c r="D61" s="98"/>
      <c r="E61" s="98"/>
      <c r="F61" s="98"/>
      <c r="G61" s="98"/>
      <c r="H61" s="99"/>
      <c r="I61" s="100"/>
      <c r="J61" s="101"/>
    </row>
    <row r="62" spans="1:10" x14ac:dyDescent="0.3">
      <c r="B62" s="1" t="s">
        <v>19</v>
      </c>
      <c r="H62" s="62"/>
      <c r="I62" s="43"/>
    </row>
    <row r="63" spans="1:10" x14ac:dyDescent="0.3">
      <c r="H63" s="62"/>
      <c r="I63" s="43"/>
    </row>
    <row r="64" spans="1:10" x14ac:dyDescent="0.3">
      <c r="B64" s="111" t="s">
        <v>45</v>
      </c>
      <c r="C64" s="85"/>
      <c r="D64" s="85"/>
      <c r="E64" s="85"/>
      <c r="F64" s="85"/>
      <c r="G64" s="85"/>
      <c r="H64" s="112"/>
      <c r="I64" s="86"/>
    </row>
    <row r="65" spans="2:9" x14ac:dyDescent="0.3">
      <c r="B65" s="73" t="s">
        <v>46</v>
      </c>
      <c r="H65" s="62"/>
      <c r="I65" s="93"/>
    </row>
    <row r="66" spans="2:9" x14ac:dyDescent="0.3">
      <c r="B66" s="73" t="s">
        <v>47</v>
      </c>
      <c r="H66" s="62"/>
      <c r="I66" s="93"/>
    </row>
    <row r="67" spans="2:9" x14ac:dyDescent="0.3">
      <c r="B67" s="73" t="s">
        <v>48</v>
      </c>
      <c r="H67" s="62"/>
      <c r="I67" s="93"/>
    </row>
    <row r="68" spans="2:9" x14ac:dyDescent="0.3">
      <c r="B68" s="73" t="s">
        <v>49</v>
      </c>
      <c r="H68" s="62"/>
      <c r="I68" s="93"/>
    </row>
    <row r="69" spans="2:9" x14ac:dyDescent="0.3">
      <c r="B69" s="73" t="s">
        <v>50</v>
      </c>
      <c r="H69" s="62"/>
      <c r="I69" s="93"/>
    </row>
    <row r="70" spans="2:9" x14ac:dyDescent="0.3">
      <c r="B70" s="73" t="s">
        <v>51</v>
      </c>
      <c r="H70" s="62"/>
      <c r="I70" s="93"/>
    </row>
    <row r="71" spans="2:9" x14ac:dyDescent="0.3">
      <c r="B71" s="73" t="s">
        <v>52</v>
      </c>
      <c r="H71" s="62"/>
      <c r="I71" s="93"/>
    </row>
    <row r="72" spans="2:9" x14ac:dyDescent="0.3">
      <c r="B72" s="73" t="s">
        <v>53</v>
      </c>
      <c r="H72" s="62"/>
      <c r="I72" s="93"/>
    </row>
    <row r="73" spans="2:9" x14ac:dyDescent="0.3">
      <c r="B73" s="73" t="s">
        <v>54</v>
      </c>
      <c r="H73" s="62"/>
      <c r="I73" s="93"/>
    </row>
    <row r="74" spans="2:9" x14ac:dyDescent="0.3">
      <c r="B74" s="113"/>
      <c r="H74" s="62"/>
      <c r="I74" s="93"/>
    </row>
    <row r="75" spans="2:9" x14ac:dyDescent="0.3">
      <c r="B75" s="114"/>
      <c r="C75" s="94"/>
      <c r="D75" s="94"/>
      <c r="E75" s="94"/>
      <c r="F75" s="94"/>
      <c r="G75" s="94"/>
      <c r="H75" s="95"/>
      <c r="I75" s="96"/>
    </row>
    <row r="76" spans="2:9" x14ac:dyDescent="0.3">
      <c r="H76" s="62"/>
      <c r="I76" s="43"/>
    </row>
    <row r="77" spans="2:9" x14ac:dyDescent="0.3">
      <c r="H77" s="62"/>
      <c r="I77" s="43"/>
    </row>
    <row r="78" spans="2:9" hidden="1" x14ac:dyDescent="0.3">
      <c r="H78" s="62"/>
      <c r="I78" s="43"/>
    </row>
    <row r="79" spans="2:9" hidden="1" x14ac:dyDescent="0.3">
      <c r="H79" s="62"/>
      <c r="I79" s="43"/>
    </row>
    <row r="80" spans="2:9" hidden="1" x14ac:dyDescent="0.3">
      <c r="H80" s="62"/>
      <c r="I80" s="43"/>
    </row>
    <row r="81" spans="8:9" hidden="1" x14ac:dyDescent="0.3">
      <c r="H81" s="62"/>
      <c r="I81" s="43"/>
    </row>
    <row r="82" spans="8:9" hidden="1" x14ac:dyDescent="0.3">
      <c r="H82" s="62"/>
      <c r="I82" s="43"/>
    </row>
    <row r="83" spans="8:9" hidden="1" x14ac:dyDescent="0.3">
      <c r="H83" s="62"/>
      <c r="I83" s="43"/>
    </row>
    <row r="84" spans="8:9" hidden="1" x14ac:dyDescent="0.3">
      <c r="H84" s="62"/>
      <c r="I84" s="43"/>
    </row>
    <row r="85" spans="8:9" hidden="1" x14ac:dyDescent="0.3">
      <c r="H85" s="62"/>
      <c r="I85" s="43"/>
    </row>
    <row r="86" spans="8:9" hidden="1" x14ac:dyDescent="0.3">
      <c r="H86" s="62"/>
      <c r="I86" s="43"/>
    </row>
    <row r="87" spans="8:9" hidden="1" x14ac:dyDescent="0.3">
      <c r="H87" s="62"/>
      <c r="I87" s="43"/>
    </row>
    <row r="88" spans="8:9" hidden="1" x14ac:dyDescent="0.3">
      <c r="H88" s="62"/>
      <c r="I88" s="43"/>
    </row>
    <row r="89" spans="8:9" hidden="1" x14ac:dyDescent="0.3">
      <c r="H89" s="62"/>
      <c r="I89" s="43"/>
    </row>
    <row r="90" spans="8:9" hidden="1" x14ac:dyDescent="0.3">
      <c r="H90" s="62"/>
      <c r="I90" s="43"/>
    </row>
    <row r="91" spans="8:9" hidden="1" x14ac:dyDescent="0.3">
      <c r="H91" s="62"/>
      <c r="I91" s="43"/>
    </row>
    <row r="92" spans="8:9" hidden="1" x14ac:dyDescent="0.3">
      <c r="H92" s="62"/>
      <c r="I92" s="43"/>
    </row>
    <row r="93" spans="8:9" hidden="1" x14ac:dyDescent="0.3">
      <c r="H93" s="62"/>
      <c r="I93" s="43"/>
    </row>
    <row r="94" spans="8:9" hidden="1" x14ac:dyDescent="0.3">
      <c r="H94" s="62"/>
      <c r="I94" s="43"/>
    </row>
    <row r="95" spans="8:9" hidden="1" x14ac:dyDescent="0.3">
      <c r="H95" s="62"/>
      <c r="I95" s="43"/>
    </row>
    <row r="96" spans="8:9" hidden="1" x14ac:dyDescent="0.3">
      <c r="H96" s="62"/>
      <c r="I96" s="43"/>
    </row>
    <row r="97" spans="8:9" hidden="1" x14ac:dyDescent="0.3">
      <c r="H97" s="62"/>
      <c r="I97" s="43"/>
    </row>
    <row r="98" spans="8:9" hidden="1" x14ac:dyDescent="0.3">
      <c r="H98" s="62"/>
      <c r="I98" s="43"/>
    </row>
    <row r="99" spans="8:9" hidden="1" x14ac:dyDescent="0.3">
      <c r="H99" s="62"/>
      <c r="I99" s="43"/>
    </row>
    <row r="100" spans="8:9" hidden="1" x14ac:dyDescent="0.3">
      <c r="H100" s="62"/>
      <c r="I100" s="43"/>
    </row>
    <row r="101" spans="8:9" hidden="1" x14ac:dyDescent="0.3">
      <c r="H101" s="62"/>
      <c r="I101" s="43"/>
    </row>
    <row r="102" spans="8:9" hidden="1" x14ac:dyDescent="0.3">
      <c r="H102" s="62"/>
      <c r="I102" s="43"/>
    </row>
    <row r="103" spans="8:9" hidden="1" x14ac:dyDescent="0.3">
      <c r="H103" s="62"/>
      <c r="I103" s="43"/>
    </row>
    <row r="104" spans="8:9" hidden="1" x14ac:dyDescent="0.3">
      <c r="H104" s="62"/>
      <c r="I104" s="43"/>
    </row>
    <row r="105" spans="8:9" hidden="1" x14ac:dyDescent="0.3">
      <c r="H105" s="62"/>
      <c r="I105" s="43"/>
    </row>
    <row r="106" spans="8:9" hidden="1" x14ac:dyDescent="0.3">
      <c r="H106" s="62"/>
      <c r="I106" s="43"/>
    </row>
    <row r="107" spans="8:9" hidden="1" x14ac:dyDescent="0.3">
      <c r="H107" s="62"/>
      <c r="I107" s="43"/>
    </row>
    <row r="108" spans="8:9" hidden="1" x14ac:dyDescent="0.3">
      <c r="H108" s="62"/>
      <c r="I108" s="43"/>
    </row>
    <row r="109" spans="8:9" hidden="1" x14ac:dyDescent="0.3">
      <c r="H109" s="62"/>
      <c r="I109" s="43"/>
    </row>
    <row r="110" spans="8:9" hidden="1" x14ac:dyDescent="0.3">
      <c r="H110" s="62"/>
      <c r="I110" s="43"/>
    </row>
    <row r="111" spans="8:9" hidden="1" x14ac:dyDescent="0.3">
      <c r="H111" s="62"/>
      <c r="I111" s="43"/>
    </row>
    <row r="112" spans="8:9" hidden="1" x14ac:dyDescent="0.3">
      <c r="H112" s="62"/>
      <c r="I112" s="43"/>
    </row>
    <row r="113" spans="8:9" hidden="1" x14ac:dyDescent="0.3">
      <c r="H113" s="62"/>
      <c r="I113" s="43"/>
    </row>
    <row r="114" spans="8:9" hidden="1" x14ac:dyDescent="0.3">
      <c r="H114" s="62"/>
      <c r="I114" s="43"/>
    </row>
    <row r="115" spans="8:9" hidden="1" x14ac:dyDescent="0.3">
      <c r="H115" s="62"/>
      <c r="I115" s="43"/>
    </row>
    <row r="116" spans="8:9" hidden="1" x14ac:dyDescent="0.3">
      <c r="H116" s="62"/>
      <c r="I116" s="43"/>
    </row>
    <row r="117" spans="8:9" hidden="1" x14ac:dyDescent="0.3">
      <c r="H117" s="62"/>
      <c r="I117" s="43"/>
    </row>
    <row r="118" spans="8:9" hidden="1" x14ac:dyDescent="0.3">
      <c r="H118" s="62"/>
      <c r="I118" s="43"/>
    </row>
    <row r="119" spans="8:9" hidden="1" x14ac:dyDescent="0.3">
      <c r="H119" s="62"/>
      <c r="I119" s="43"/>
    </row>
    <row r="120" spans="8:9" hidden="1" x14ac:dyDescent="0.3">
      <c r="H120" s="62"/>
      <c r="I120" s="43"/>
    </row>
    <row r="121" spans="8:9" hidden="1" x14ac:dyDescent="0.3">
      <c r="H121" s="62"/>
      <c r="I121" s="43"/>
    </row>
    <row r="122" spans="8:9" hidden="1" x14ac:dyDescent="0.3">
      <c r="H122" s="62"/>
      <c r="I122" s="43"/>
    </row>
    <row r="123" spans="8:9" hidden="1" x14ac:dyDescent="0.3">
      <c r="H123" s="62"/>
      <c r="I123" s="43"/>
    </row>
    <row r="124" spans="8:9" hidden="1" x14ac:dyDescent="0.3">
      <c r="H124" s="62"/>
      <c r="I124" s="43"/>
    </row>
    <row r="125" spans="8:9" hidden="1" x14ac:dyDescent="0.3">
      <c r="H125" s="62"/>
      <c r="I125" s="43"/>
    </row>
    <row r="126" spans="8:9" hidden="1" x14ac:dyDescent="0.3">
      <c r="H126" s="62"/>
      <c r="I126" s="43"/>
    </row>
    <row r="127" spans="8:9" hidden="1" x14ac:dyDescent="0.3">
      <c r="H127" s="62"/>
      <c r="I127" s="43"/>
    </row>
    <row r="128" spans="8:9" hidden="1" x14ac:dyDescent="0.3">
      <c r="H128" s="62"/>
      <c r="I128" s="43"/>
    </row>
    <row r="129" spans="8:9" hidden="1" x14ac:dyDescent="0.3">
      <c r="H129" s="62"/>
      <c r="I129" s="43"/>
    </row>
    <row r="130" spans="8:9" hidden="1" x14ac:dyDescent="0.3">
      <c r="H130" s="62"/>
      <c r="I130" s="43"/>
    </row>
    <row r="131" spans="8:9" hidden="1" x14ac:dyDescent="0.3">
      <c r="H131" s="62"/>
      <c r="I131" s="43"/>
    </row>
    <row r="132" spans="8:9" hidden="1" x14ac:dyDescent="0.3">
      <c r="H132" s="62"/>
      <c r="I132" s="43"/>
    </row>
    <row r="133" spans="8:9" hidden="1" x14ac:dyDescent="0.3">
      <c r="H133" s="62"/>
      <c r="I133" s="43"/>
    </row>
    <row r="134" spans="8:9" hidden="1" x14ac:dyDescent="0.3">
      <c r="H134" s="62"/>
      <c r="I134" s="43"/>
    </row>
    <row r="135" spans="8:9" hidden="1" x14ac:dyDescent="0.3">
      <c r="H135" s="62"/>
      <c r="I135" s="43"/>
    </row>
    <row r="136" spans="8:9" hidden="1" x14ac:dyDescent="0.3">
      <c r="H136" s="62"/>
      <c r="I136" s="43"/>
    </row>
    <row r="137" spans="8:9" hidden="1" x14ac:dyDescent="0.3">
      <c r="H137" s="62"/>
      <c r="I137" s="43"/>
    </row>
    <row r="138" spans="8:9" hidden="1" x14ac:dyDescent="0.3">
      <c r="H138" s="62"/>
      <c r="I138" s="43"/>
    </row>
    <row r="139" spans="8:9" hidden="1" x14ac:dyDescent="0.3">
      <c r="H139" s="62"/>
      <c r="I139" s="43"/>
    </row>
    <row r="142" spans="8:9" x14ac:dyDescent="0.3"/>
    <row r="143" spans="8:9" x14ac:dyDescent="0.3"/>
    <row r="144" spans="8:9" ht="18.75" customHeight="1" x14ac:dyDescent="0.3"/>
    <row r="145" ht="18.75" customHeight="1" x14ac:dyDescent="0.3"/>
    <row r="146" ht="18.75" customHeight="1" x14ac:dyDescent="0.3"/>
    <row r="147" ht="18.75" customHeight="1" x14ac:dyDescent="0.3"/>
    <row r="148" ht="18.75" customHeight="1" x14ac:dyDescent="0.3"/>
    <row r="149" ht="18.75" customHeight="1" x14ac:dyDescent="0.3"/>
  </sheetData>
  <mergeCells count="4">
    <mergeCell ref="D3:I5"/>
    <mergeCell ref="G18:H18"/>
    <mergeCell ref="G19:H19"/>
    <mergeCell ref="D23:G23"/>
  </mergeCells>
  <printOptions horizontalCentered="1"/>
  <pageMargins left="0.75000000000000011" right="0.75000000000000011" top="1" bottom="1" header="0.5" footer="0.5"/>
  <pageSetup paperSize="9" scale="87" orientation="portrait" horizontalDpi="4294967292" verticalDpi="4294967292" r:id="rId1"/>
  <headerFooter>
    <oddHeader>&amp;R&amp;"Calibri"&amp;7&amp;K000000 1 - General Business&amp;1#_x000D_</oddHeader>
  </headerFooter>
  <colBreaks count="1" manualBreakCount="1">
    <brk id="1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E60E6-983F-476F-8304-7C55FB150BD6}">
  <dimension ref="A1:O163"/>
  <sheetViews>
    <sheetView showGridLines="0" topLeftCell="A13" zoomScaleNormal="100" zoomScalePageLayoutView="150" workbookViewId="0">
      <selection activeCell="I36" sqref="I36"/>
    </sheetView>
  </sheetViews>
  <sheetFormatPr defaultColWidth="0" defaultRowHeight="0" customHeight="1" zeroHeight="1" x14ac:dyDescent="0.3"/>
  <cols>
    <col min="1" max="1" width="1.5" style="1" customWidth="1"/>
    <col min="2" max="9" width="15.125" style="1" customWidth="1"/>
    <col min="10" max="10" width="1.625" style="1" customWidth="1"/>
    <col min="11" max="11" width="11" style="1" hidden="1" customWidth="1"/>
    <col min="12" max="13" width="11.5" style="1" hidden="1" customWidth="1"/>
    <col min="14" max="14" width="11" style="1" hidden="1" customWidth="1"/>
    <col min="15" max="15" width="11.5" style="1" hidden="1" customWidth="1"/>
    <col min="16" max="16384" width="11" style="1" hidden="1"/>
  </cols>
  <sheetData>
    <row r="1" spans="1:10" ht="8.1" customHeight="1" x14ac:dyDescent="0.3">
      <c r="A1" s="103"/>
      <c r="B1" s="104"/>
      <c r="C1" s="104"/>
      <c r="D1" s="104"/>
      <c r="E1" s="104"/>
      <c r="F1" s="104"/>
      <c r="G1" s="104"/>
      <c r="H1" s="104"/>
      <c r="I1" s="104"/>
      <c r="J1" s="105"/>
    </row>
    <row r="2" spans="1:10" ht="18.75" x14ac:dyDescent="0.3">
      <c r="A2" s="106"/>
      <c r="B2" s="107"/>
      <c r="C2" s="107"/>
      <c r="D2" s="108"/>
      <c r="E2" s="107"/>
      <c r="F2" s="107"/>
      <c r="G2" s="107"/>
      <c r="H2" s="107"/>
      <c r="I2" s="109"/>
      <c r="J2" s="110"/>
    </row>
    <row r="3" spans="1:10" ht="15" customHeight="1" x14ac:dyDescent="0.3">
      <c r="A3" s="106"/>
      <c r="B3" s="107"/>
      <c r="C3" s="107"/>
      <c r="D3" s="150" t="s">
        <v>20</v>
      </c>
      <c r="E3" s="150"/>
      <c r="F3" s="150"/>
      <c r="G3" s="150"/>
      <c r="H3" s="150"/>
      <c r="I3" s="150"/>
      <c r="J3" s="110"/>
    </row>
    <row r="4" spans="1:10" ht="15" customHeight="1" x14ac:dyDescent="0.3">
      <c r="A4" s="106"/>
      <c r="B4" s="107"/>
      <c r="C4" s="107"/>
      <c r="D4" s="150"/>
      <c r="E4" s="150"/>
      <c r="F4" s="150"/>
      <c r="G4" s="150"/>
      <c r="H4" s="150"/>
      <c r="I4" s="150"/>
      <c r="J4" s="110"/>
    </row>
    <row r="5" spans="1:10" ht="18.75" x14ac:dyDescent="0.3">
      <c r="A5" s="106"/>
      <c r="B5" s="107"/>
      <c r="C5" s="107"/>
      <c r="D5" s="150"/>
      <c r="E5" s="150"/>
      <c r="F5" s="150"/>
      <c r="G5" s="150"/>
      <c r="H5" s="150"/>
      <c r="I5" s="150"/>
      <c r="J5" s="110"/>
    </row>
    <row r="6" spans="1:10" ht="18.95" customHeight="1" x14ac:dyDescent="0.3">
      <c r="A6" s="106"/>
      <c r="B6" s="107"/>
      <c r="C6" s="107"/>
      <c r="D6" s="107"/>
      <c r="E6" s="107"/>
      <c r="F6" s="107"/>
      <c r="G6" s="107"/>
      <c r="H6" s="107"/>
      <c r="I6" s="107"/>
      <c r="J6" s="110"/>
    </row>
    <row r="7" spans="1:10" ht="18.95" customHeight="1" x14ac:dyDescent="0.3">
      <c r="A7" s="106"/>
      <c r="B7" s="107" t="s">
        <v>21</v>
      </c>
      <c r="C7" s="107"/>
      <c r="D7" s="107"/>
      <c r="E7" s="107"/>
      <c r="F7" s="107"/>
      <c r="G7" s="107"/>
      <c r="H7" s="107"/>
      <c r="I7" s="107"/>
      <c r="J7" s="110"/>
    </row>
    <row r="8" spans="1:10" ht="18.95" customHeight="1" x14ac:dyDescent="0.3">
      <c r="A8" s="106"/>
      <c r="B8" s="107" t="s">
        <v>35</v>
      </c>
      <c r="C8" s="107"/>
      <c r="D8" s="107"/>
      <c r="E8" s="107"/>
      <c r="F8" s="107"/>
      <c r="G8" s="107"/>
      <c r="H8" s="107"/>
      <c r="I8" s="107"/>
      <c r="J8" s="110"/>
    </row>
    <row r="9" spans="1:10" ht="18.95" customHeight="1" x14ac:dyDescent="0.3">
      <c r="A9" s="106"/>
      <c r="B9" s="107" t="s">
        <v>22</v>
      </c>
      <c r="C9" s="107"/>
      <c r="D9" s="107"/>
      <c r="E9" s="107"/>
      <c r="F9" s="107"/>
      <c r="G9" s="107"/>
      <c r="H9" s="107"/>
      <c r="I9" s="107"/>
      <c r="J9" s="110"/>
    </row>
    <row r="10" spans="1:10" ht="18.95" customHeight="1" x14ac:dyDescent="0.3">
      <c r="A10" s="106"/>
      <c r="B10" s="107" t="s">
        <v>23</v>
      </c>
      <c r="C10" s="107"/>
      <c r="D10" s="107"/>
      <c r="E10" s="107"/>
      <c r="F10" s="107"/>
      <c r="G10" s="107"/>
      <c r="H10" s="107"/>
      <c r="I10" s="107"/>
      <c r="J10" s="110"/>
    </row>
    <row r="11" spans="1:10" ht="18.95" customHeight="1" x14ac:dyDescent="0.3">
      <c r="A11" s="106"/>
      <c r="B11" s="107"/>
      <c r="C11" s="107"/>
      <c r="D11" s="107"/>
      <c r="E11" s="107"/>
      <c r="F11" s="107"/>
      <c r="G11" s="107"/>
      <c r="H11" s="107"/>
      <c r="I11" s="107"/>
      <c r="J11" s="110"/>
    </row>
    <row r="12" spans="1:10" ht="20.100000000000001" customHeight="1" x14ac:dyDescent="0.3">
      <c r="A12" s="2"/>
      <c r="B12" s="156" t="s">
        <v>57</v>
      </c>
      <c r="C12" s="157"/>
      <c r="D12" s="157"/>
      <c r="E12" s="157"/>
      <c r="F12" s="157"/>
      <c r="G12" s="157"/>
      <c r="H12" s="48" t="s">
        <v>9</v>
      </c>
      <c r="I12" s="49" t="s">
        <v>10</v>
      </c>
      <c r="J12" s="4"/>
    </row>
    <row r="13" spans="1:10" ht="45.95" customHeight="1" x14ac:dyDescent="0.3">
      <c r="A13" s="2"/>
      <c r="B13" s="158"/>
      <c r="C13" s="159"/>
      <c r="D13" s="159"/>
      <c r="E13" s="159"/>
      <c r="F13" s="159"/>
      <c r="G13" s="159"/>
      <c r="H13" s="160" t="s">
        <v>77</v>
      </c>
      <c r="I13" s="161"/>
      <c r="J13" s="4"/>
    </row>
    <row r="14" spans="1:10" ht="20.100000000000001" customHeight="1" x14ac:dyDescent="0.3">
      <c r="A14" s="2"/>
      <c r="B14" s="22" t="s">
        <v>58</v>
      </c>
      <c r="C14" s="23"/>
      <c r="D14" s="115"/>
      <c r="E14" s="115"/>
      <c r="F14" s="115"/>
      <c r="G14" s="115"/>
      <c r="H14" s="116"/>
      <c r="I14" s="117">
        <v>165</v>
      </c>
      <c r="J14" s="4"/>
    </row>
    <row r="15" spans="1:10" ht="20.100000000000001" customHeight="1" x14ac:dyDescent="0.3">
      <c r="A15" s="2"/>
      <c r="B15" s="26" t="s">
        <v>59</v>
      </c>
      <c r="C15" s="27"/>
      <c r="D15" s="118"/>
      <c r="E15" s="118"/>
      <c r="F15" s="118"/>
      <c r="G15" s="118"/>
      <c r="H15" s="119"/>
      <c r="I15" s="120">
        <v>430</v>
      </c>
      <c r="J15" s="4"/>
    </row>
    <row r="16" spans="1:10" ht="20.100000000000001" customHeight="1" x14ac:dyDescent="0.3">
      <c r="A16" s="2"/>
      <c r="B16" s="26" t="s">
        <v>140</v>
      </c>
      <c r="C16" s="27"/>
      <c r="D16" s="118"/>
      <c r="E16" s="118"/>
      <c r="F16" s="118"/>
      <c r="G16" s="118"/>
      <c r="H16" s="119"/>
      <c r="I16" s="120">
        <f>Pathfinder!I29*0.4%</f>
        <v>5404.1393897552098</v>
      </c>
      <c r="J16" s="4"/>
    </row>
    <row r="17" spans="1:10" ht="20.100000000000001" customHeight="1" x14ac:dyDescent="0.3">
      <c r="A17" s="2"/>
      <c r="B17" s="26" t="s">
        <v>79</v>
      </c>
      <c r="C17" s="27"/>
      <c r="D17" s="118"/>
      <c r="E17" s="118"/>
      <c r="F17" s="118"/>
      <c r="G17" s="118"/>
      <c r="H17" s="119"/>
      <c r="I17" s="120">
        <f>SUM(11000/10000)*3000</f>
        <v>3300.0000000000005</v>
      </c>
      <c r="J17" s="4"/>
    </row>
    <row r="18" spans="1:10" ht="20.100000000000001" customHeight="1" x14ac:dyDescent="0.3">
      <c r="A18" s="2"/>
      <c r="B18" s="26" t="s">
        <v>141</v>
      </c>
      <c r="C18" s="27"/>
      <c r="D18" s="118"/>
      <c r="E18" s="118"/>
      <c r="F18" s="118"/>
      <c r="G18" s="118"/>
      <c r="H18" s="119"/>
      <c r="I18" s="120">
        <v>1500</v>
      </c>
      <c r="J18" s="4"/>
    </row>
    <row r="19" spans="1:10" ht="20.100000000000001" customHeight="1" x14ac:dyDescent="0.3">
      <c r="A19" s="2"/>
      <c r="B19" s="26" t="s">
        <v>83</v>
      </c>
      <c r="C19" s="27"/>
      <c r="D19" s="118"/>
      <c r="E19" s="118"/>
      <c r="F19" s="118"/>
      <c r="G19" s="118"/>
      <c r="H19" s="119"/>
      <c r="I19" s="120">
        <f>Pathfinder!I27*8%</f>
        <v>1258.7910984000007</v>
      </c>
      <c r="J19" s="4"/>
    </row>
    <row r="20" spans="1:10" ht="20.100000000000001" customHeight="1" x14ac:dyDescent="0.3">
      <c r="A20" s="2"/>
      <c r="B20" s="26" t="s">
        <v>60</v>
      </c>
      <c r="C20" s="27"/>
      <c r="D20" s="118"/>
      <c r="E20" s="118"/>
      <c r="F20" s="118"/>
      <c r="G20" s="118"/>
      <c r="H20" s="119"/>
      <c r="I20" s="120"/>
      <c r="J20" s="4"/>
    </row>
    <row r="21" spans="1:10" ht="20.100000000000001" customHeight="1" x14ac:dyDescent="0.3">
      <c r="A21" s="2"/>
      <c r="B21" s="26" t="s">
        <v>61</v>
      </c>
      <c r="C21" s="27"/>
      <c r="D21" s="118"/>
      <c r="E21" s="118"/>
      <c r="F21" s="118"/>
      <c r="G21" s="118"/>
      <c r="H21" s="119"/>
      <c r="I21" s="120">
        <v>650</v>
      </c>
      <c r="J21" s="4"/>
    </row>
    <row r="22" spans="1:10" ht="20.100000000000001" customHeight="1" x14ac:dyDescent="0.3">
      <c r="A22" s="2"/>
      <c r="B22" s="26" t="s">
        <v>62</v>
      </c>
      <c r="C22" s="27"/>
      <c r="D22" s="118"/>
      <c r="E22" s="118"/>
      <c r="F22" s="118"/>
      <c r="G22" s="118"/>
      <c r="H22" s="119"/>
      <c r="I22" s="120"/>
      <c r="J22" s="4"/>
    </row>
    <row r="23" spans="1:10" ht="20.100000000000001" customHeight="1" x14ac:dyDescent="0.3">
      <c r="A23" s="2"/>
      <c r="B23" s="26" t="s">
        <v>63</v>
      </c>
      <c r="C23" s="27"/>
      <c r="D23" s="118"/>
      <c r="E23" s="118"/>
      <c r="F23" s="118"/>
      <c r="G23" s="118"/>
      <c r="H23" s="119"/>
      <c r="I23" s="120">
        <v>600</v>
      </c>
      <c r="J23" s="4"/>
    </row>
    <row r="24" spans="1:10" ht="20.100000000000001" customHeight="1" x14ac:dyDescent="0.3">
      <c r="A24" s="2"/>
      <c r="B24" s="26" t="s">
        <v>64</v>
      </c>
      <c r="C24" s="27"/>
      <c r="D24" s="118"/>
      <c r="E24" s="118"/>
      <c r="F24" s="118"/>
      <c r="G24" s="118"/>
      <c r="H24" s="119"/>
      <c r="I24" s="120"/>
      <c r="J24" s="4"/>
    </row>
    <row r="25" spans="1:10" ht="20.100000000000001" customHeight="1" x14ac:dyDescent="0.3">
      <c r="A25" s="2"/>
      <c r="B25" s="26" t="s">
        <v>65</v>
      </c>
      <c r="C25" s="27"/>
      <c r="D25" s="118"/>
      <c r="E25" s="118"/>
      <c r="F25" s="118"/>
      <c r="G25" s="118"/>
      <c r="H25" s="119"/>
      <c r="I25" s="120"/>
      <c r="J25" s="4"/>
    </row>
    <row r="26" spans="1:10" ht="20.100000000000001" customHeight="1" x14ac:dyDescent="0.3">
      <c r="A26" s="2"/>
      <c r="B26" s="26" t="s">
        <v>66</v>
      </c>
      <c r="C26" s="27"/>
      <c r="D26" s="118"/>
      <c r="E26" s="118"/>
      <c r="F26" s="118"/>
      <c r="G26" s="118"/>
      <c r="H26" s="119"/>
      <c r="I26" s="120">
        <v>290</v>
      </c>
      <c r="J26" s="4"/>
    </row>
    <row r="27" spans="1:10" ht="20.100000000000001" customHeight="1" x14ac:dyDescent="0.3">
      <c r="A27" s="2"/>
      <c r="B27" s="26" t="s">
        <v>102</v>
      </c>
      <c r="C27" s="27"/>
      <c r="D27" s="118"/>
      <c r="E27" s="118"/>
      <c r="F27" s="121"/>
      <c r="G27" s="118"/>
      <c r="H27" s="119"/>
      <c r="I27" s="120">
        <f>SUM(Pathfinder!I29*0.5%)</f>
        <v>6755.1742371940127</v>
      </c>
      <c r="J27" s="4"/>
    </row>
    <row r="28" spans="1:10" ht="20.100000000000001" customHeight="1" x14ac:dyDescent="0.3">
      <c r="A28" s="2"/>
      <c r="B28" s="26" t="s">
        <v>67</v>
      </c>
      <c r="C28" s="27"/>
      <c r="D28" s="118"/>
      <c r="E28" s="118"/>
      <c r="F28" s="118"/>
      <c r="G28" s="118"/>
      <c r="H28" s="119"/>
      <c r="I28" s="120">
        <v>850</v>
      </c>
      <c r="J28" s="4"/>
    </row>
    <row r="29" spans="1:10" ht="20.100000000000001" customHeight="1" x14ac:dyDescent="0.3">
      <c r="A29" s="2"/>
      <c r="B29" s="26" t="s">
        <v>82</v>
      </c>
      <c r="C29" s="27"/>
      <c r="D29" s="118"/>
      <c r="E29" s="118"/>
      <c r="F29" s="118"/>
      <c r="G29" s="118"/>
      <c r="H29" s="119"/>
      <c r="I29" s="120">
        <v>550</v>
      </c>
      <c r="J29" s="4"/>
    </row>
    <row r="30" spans="1:10" ht="20.100000000000001" customHeight="1" x14ac:dyDescent="0.3">
      <c r="A30" s="2"/>
      <c r="B30" s="26" t="s">
        <v>86</v>
      </c>
      <c r="C30" s="27"/>
      <c r="D30" s="118"/>
      <c r="E30" s="118"/>
      <c r="F30" s="118"/>
      <c r="G30" s="118"/>
      <c r="H30" s="119"/>
      <c r="I30" s="120"/>
      <c r="J30" s="4"/>
    </row>
    <row r="31" spans="1:10" ht="20.100000000000001" customHeight="1" x14ac:dyDescent="0.3">
      <c r="A31" s="2"/>
      <c r="B31" s="26" t="s">
        <v>68</v>
      </c>
      <c r="C31" s="27"/>
      <c r="D31" s="118"/>
      <c r="E31" s="118"/>
      <c r="F31" s="118"/>
      <c r="G31" s="118"/>
      <c r="H31" s="119"/>
      <c r="I31" s="120"/>
      <c r="J31" s="4"/>
    </row>
    <row r="32" spans="1:10" ht="20.100000000000001" customHeight="1" x14ac:dyDescent="0.3">
      <c r="A32" s="2"/>
      <c r="B32" s="26" t="s">
        <v>69</v>
      </c>
      <c r="C32" s="27"/>
      <c r="D32" s="118"/>
      <c r="E32" s="118" t="s">
        <v>76</v>
      </c>
      <c r="F32" s="118"/>
      <c r="G32" s="118"/>
      <c r="H32" s="119"/>
      <c r="I32" s="120"/>
      <c r="J32" s="4"/>
    </row>
    <row r="33" spans="1:15" ht="20.100000000000001" customHeight="1" x14ac:dyDescent="0.3">
      <c r="A33" s="2"/>
      <c r="B33" s="26" t="s">
        <v>70</v>
      </c>
      <c r="C33" s="27"/>
      <c r="D33" s="118"/>
      <c r="E33" s="118"/>
      <c r="F33" s="118"/>
      <c r="G33" s="118"/>
      <c r="H33" s="119"/>
      <c r="I33" s="120"/>
      <c r="J33" s="4"/>
    </row>
    <row r="34" spans="1:15" ht="20.100000000000001" customHeight="1" x14ac:dyDescent="0.3">
      <c r="A34" s="2"/>
      <c r="B34" s="26" t="s">
        <v>71</v>
      </c>
      <c r="C34" s="27"/>
      <c r="D34" s="118"/>
      <c r="E34" s="118"/>
      <c r="F34" s="118"/>
      <c r="G34" s="118"/>
      <c r="H34" s="119"/>
      <c r="I34" s="120"/>
      <c r="J34" s="4"/>
    </row>
    <row r="35" spans="1:15" ht="20.100000000000001" customHeight="1" x14ac:dyDescent="0.3">
      <c r="A35" s="2"/>
      <c r="B35" s="26" t="s">
        <v>72</v>
      </c>
      <c r="C35" s="27"/>
      <c r="D35" s="118"/>
      <c r="E35" s="118"/>
      <c r="F35" s="118"/>
      <c r="G35" s="118"/>
      <c r="H35" s="119"/>
      <c r="I35" s="120"/>
      <c r="J35" s="4"/>
    </row>
    <row r="36" spans="1:15" ht="20.100000000000001" customHeight="1" x14ac:dyDescent="0.3">
      <c r="A36" s="2"/>
      <c r="B36" s="26" t="s">
        <v>73</v>
      </c>
      <c r="C36" s="27"/>
      <c r="D36" s="118"/>
      <c r="E36" s="118"/>
      <c r="F36" s="118"/>
      <c r="G36" s="118"/>
      <c r="H36" s="119"/>
      <c r="I36" s="120"/>
      <c r="J36" s="4"/>
    </row>
    <row r="37" spans="1:15" ht="20.100000000000001" customHeight="1" x14ac:dyDescent="0.3">
      <c r="A37" s="2"/>
      <c r="B37" s="35" t="s">
        <v>74</v>
      </c>
      <c r="C37" s="36"/>
      <c r="D37" s="122"/>
      <c r="E37" s="122"/>
      <c r="F37" s="122"/>
      <c r="G37" s="122"/>
      <c r="H37" s="119"/>
      <c r="I37" s="120"/>
      <c r="J37" s="4"/>
    </row>
    <row r="38" spans="1:15" ht="20.100000000000001" customHeight="1" x14ac:dyDescent="0.3">
      <c r="A38" s="2"/>
      <c r="B38" s="39" t="s">
        <v>75</v>
      </c>
      <c r="C38" s="40"/>
      <c r="D38" s="40"/>
      <c r="E38" s="40"/>
      <c r="F38" s="40"/>
      <c r="G38" s="40"/>
      <c r="H38" s="41">
        <f>SUM(H14:H37)</f>
        <v>0</v>
      </c>
      <c r="I38" s="42">
        <f>SUM(I14:I37)</f>
        <v>21753.104725349222</v>
      </c>
      <c r="J38" s="4"/>
      <c r="L38" s="43"/>
      <c r="M38" s="43"/>
      <c r="O38" s="43"/>
    </row>
    <row r="39" spans="1:15" ht="6" customHeight="1" x14ac:dyDescent="0.3">
      <c r="A39" s="2"/>
      <c r="B39" s="3"/>
      <c r="C39" s="3"/>
      <c r="D39" s="3"/>
      <c r="E39" s="3"/>
      <c r="F39" s="3"/>
      <c r="G39" s="3"/>
      <c r="H39" s="44"/>
      <c r="I39" s="45"/>
      <c r="J39" s="4"/>
    </row>
    <row r="40" spans="1:15" ht="19.5" thickBot="1" x14ac:dyDescent="0.35">
      <c r="A40" s="97"/>
      <c r="B40" s="98"/>
      <c r="C40" s="98"/>
      <c r="D40" s="98"/>
      <c r="E40" s="98"/>
      <c r="F40" s="98"/>
      <c r="G40" s="98"/>
      <c r="H40" s="99"/>
      <c r="I40" s="100"/>
      <c r="J40" s="101"/>
    </row>
    <row r="41" spans="1:15" ht="18.75" x14ac:dyDescent="0.3">
      <c r="B41" s="1" t="s">
        <v>19</v>
      </c>
      <c r="H41" s="62"/>
      <c r="I41" s="43"/>
    </row>
    <row r="42" spans="1:15" ht="18.75" x14ac:dyDescent="0.3">
      <c r="H42" s="62"/>
      <c r="I42" s="43"/>
    </row>
    <row r="43" spans="1:15" ht="18.75" x14ac:dyDescent="0.3">
      <c r="H43" s="62"/>
      <c r="I43" s="43"/>
    </row>
    <row r="44" spans="1:15" ht="18.75" x14ac:dyDescent="0.3">
      <c r="B44" s="111" t="s">
        <v>45</v>
      </c>
      <c r="C44" s="85"/>
      <c r="D44" s="85"/>
      <c r="E44" s="85"/>
      <c r="F44" s="85"/>
      <c r="G44" s="85"/>
      <c r="H44" s="112"/>
      <c r="I44" s="86"/>
    </row>
    <row r="45" spans="1:15" ht="18.75" x14ac:dyDescent="0.3">
      <c r="B45" s="73" t="s">
        <v>46</v>
      </c>
      <c r="H45" s="62"/>
      <c r="I45" s="93"/>
    </row>
    <row r="46" spans="1:15" ht="18.75" x14ac:dyDescent="0.3">
      <c r="B46" s="73" t="s">
        <v>47</v>
      </c>
      <c r="H46" s="62"/>
      <c r="I46" s="93"/>
    </row>
    <row r="47" spans="1:15" ht="18.75" x14ac:dyDescent="0.3">
      <c r="B47" s="73" t="s">
        <v>48</v>
      </c>
      <c r="H47" s="62"/>
      <c r="I47" s="93"/>
    </row>
    <row r="48" spans="1:15" ht="18.75" x14ac:dyDescent="0.3">
      <c r="B48" s="73" t="s">
        <v>49</v>
      </c>
      <c r="H48" s="62"/>
      <c r="I48" s="93"/>
    </row>
    <row r="49" spans="2:9" ht="18.75" x14ac:dyDescent="0.3">
      <c r="B49" s="73" t="s">
        <v>50</v>
      </c>
      <c r="H49" s="62"/>
      <c r="I49" s="93"/>
    </row>
    <row r="50" spans="2:9" ht="18.75" x14ac:dyDescent="0.3">
      <c r="B50" s="73" t="s">
        <v>51</v>
      </c>
      <c r="H50" s="62"/>
      <c r="I50" s="93"/>
    </row>
    <row r="51" spans="2:9" ht="18.75" x14ac:dyDescent="0.3">
      <c r="B51" s="73" t="s">
        <v>52</v>
      </c>
      <c r="H51" s="62"/>
      <c r="I51" s="93"/>
    </row>
    <row r="52" spans="2:9" ht="18.75" x14ac:dyDescent="0.3">
      <c r="B52" s="73" t="s">
        <v>53</v>
      </c>
      <c r="H52" s="62"/>
      <c r="I52" s="93"/>
    </row>
    <row r="53" spans="2:9" ht="18.75" x14ac:dyDescent="0.3">
      <c r="B53" s="73" t="s">
        <v>54</v>
      </c>
      <c r="H53" s="62"/>
      <c r="I53" s="93"/>
    </row>
    <row r="54" spans="2:9" ht="18.75" x14ac:dyDescent="0.3">
      <c r="B54" s="113"/>
      <c r="H54" s="62"/>
      <c r="I54" s="93"/>
    </row>
    <row r="55" spans="2:9" ht="18.75" x14ac:dyDescent="0.3">
      <c r="B55" s="114"/>
      <c r="C55" s="94"/>
      <c r="D55" s="94"/>
      <c r="E55" s="94"/>
      <c r="F55" s="94"/>
      <c r="G55" s="94"/>
      <c r="H55" s="95"/>
      <c r="I55" s="96"/>
    </row>
    <row r="56" spans="2:9" ht="18.75" x14ac:dyDescent="0.3">
      <c r="H56" s="62"/>
      <c r="I56" s="43"/>
    </row>
    <row r="57" spans="2:9" ht="18.75" hidden="1" x14ac:dyDescent="0.3">
      <c r="H57" s="62"/>
      <c r="I57" s="43"/>
    </row>
    <row r="58" spans="2:9" ht="18.75" hidden="1" x14ac:dyDescent="0.3">
      <c r="H58" s="62"/>
      <c r="I58" s="43"/>
    </row>
    <row r="59" spans="2:9" ht="18.75" hidden="1" x14ac:dyDescent="0.3">
      <c r="H59" s="62"/>
      <c r="I59" s="43"/>
    </row>
    <row r="60" spans="2:9" ht="18.75" hidden="1" x14ac:dyDescent="0.3">
      <c r="H60" s="62"/>
      <c r="I60" s="43"/>
    </row>
    <row r="61" spans="2:9" ht="18.75" hidden="1" x14ac:dyDescent="0.3">
      <c r="H61" s="62"/>
      <c r="I61" s="43"/>
    </row>
    <row r="62" spans="2:9" ht="18.75" hidden="1" x14ac:dyDescent="0.3">
      <c r="H62" s="62"/>
      <c r="I62" s="43"/>
    </row>
    <row r="63" spans="2:9" ht="18.75" hidden="1" x14ac:dyDescent="0.3">
      <c r="H63" s="62"/>
      <c r="I63" s="43"/>
    </row>
    <row r="64" spans="2:9" ht="18.75" hidden="1" x14ac:dyDescent="0.3">
      <c r="H64" s="62"/>
      <c r="I64" s="43"/>
    </row>
    <row r="65" spans="8:9" ht="18.75" hidden="1" x14ac:dyDescent="0.3">
      <c r="H65" s="62"/>
      <c r="I65" s="43"/>
    </row>
    <row r="66" spans="8:9" ht="18.75" hidden="1" x14ac:dyDescent="0.3">
      <c r="H66" s="62"/>
      <c r="I66" s="43"/>
    </row>
    <row r="67" spans="8:9" ht="18.75" hidden="1" x14ac:dyDescent="0.3">
      <c r="H67" s="62"/>
      <c r="I67" s="43"/>
    </row>
    <row r="68" spans="8:9" ht="18.75" hidden="1" x14ac:dyDescent="0.3">
      <c r="H68" s="62"/>
      <c r="I68" s="43"/>
    </row>
    <row r="69" spans="8:9" ht="18.75" hidden="1" x14ac:dyDescent="0.3">
      <c r="H69" s="62"/>
      <c r="I69" s="43"/>
    </row>
    <row r="70" spans="8:9" ht="18.75" hidden="1" x14ac:dyDescent="0.3">
      <c r="H70" s="62"/>
      <c r="I70" s="43"/>
    </row>
    <row r="71" spans="8:9" ht="18.75" hidden="1" x14ac:dyDescent="0.3">
      <c r="H71" s="62"/>
      <c r="I71" s="43"/>
    </row>
    <row r="72" spans="8:9" ht="18.75" hidden="1" x14ac:dyDescent="0.3">
      <c r="H72" s="62"/>
      <c r="I72" s="43"/>
    </row>
    <row r="73" spans="8:9" ht="18.75" hidden="1" x14ac:dyDescent="0.3">
      <c r="H73" s="62"/>
      <c r="I73" s="43"/>
    </row>
    <row r="74" spans="8:9" ht="18.75" hidden="1" x14ac:dyDescent="0.3">
      <c r="H74" s="62"/>
      <c r="I74" s="43"/>
    </row>
    <row r="75" spans="8:9" ht="18.75" hidden="1" x14ac:dyDescent="0.3">
      <c r="H75" s="62"/>
      <c r="I75" s="43"/>
    </row>
    <row r="76" spans="8:9" ht="18.75" hidden="1" x14ac:dyDescent="0.3">
      <c r="H76" s="62"/>
      <c r="I76" s="43"/>
    </row>
    <row r="77" spans="8:9" ht="18.75" hidden="1" x14ac:dyDescent="0.3">
      <c r="H77" s="62"/>
      <c r="I77" s="43"/>
    </row>
    <row r="78" spans="8:9" ht="18.75" hidden="1" x14ac:dyDescent="0.3">
      <c r="H78" s="62"/>
      <c r="I78" s="43"/>
    </row>
    <row r="79" spans="8:9" ht="18.75" hidden="1" x14ac:dyDescent="0.3">
      <c r="H79" s="62"/>
      <c r="I79" s="43"/>
    </row>
    <row r="80" spans="8:9" ht="18.75" hidden="1" x14ac:dyDescent="0.3">
      <c r="H80" s="62"/>
      <c r="I80" s="43"/>
    </row>
    <row r="81" spans="8:9" ht="18.75" hidden="1" x14ac:dyDescent="0.3">
      <c r="H81" s="62"/>
      <c r="I81" s="43"/>
    </row>
    <row r="82" spans="8:9" ht="18.75" hidden="1" x14ac:dyDescent="0.3">
      <c r="H82" s="62"/>
      <c r="I82" s="43"/>
    </row>
    <row r="83" spans="8:9" ht="18.75" hidden="1" x14ac:dyDescent="0.3">
      <c r="H83" s="62"/>
      <c r="I83" s="43"/>
    </row>
    <row r="84" spans="8:9" ht="18.75" hidden="1" x14ac:dyDescent="0.3">
      <c r="H84" s="62"/>
      <c r="I84" s="43"/>
    </row>
    <row r="85" spans="8:9" ht="18.75" hidden="1" x14ac:dyDescent="0.3">
      <c r="H85" s="62"/>
      <c r="I85" s="43"/>
    </row>
    <row r="86" spans="8:9" ht="18.75" hidden="1" x14ac:dyDescent="0.3">
      <c r="H86" s="62"/>
      <c r="I86" s="43"/>
    </row>
    <row r="87" spans="8:9" ht="18.75" hidden="1" x14ac:dyDescent="0.3">
      <c r="H87" s="62"/>
      <c r="I87" s="43"/>
    </row>
    <row r="88" spans="8:9" ht="18.75" hidden="1" x14ac:dyDescent="0.3">
      <c r="H88" s="62"/>
      <c r="I88" s="43"/>
    </row>
    <row r="89" spans="8:9" ht="18.75" hidden="1" x14ac:dyDescent="0.3">
      <c r="H89" s="62"/>
      <c r="I89" s="43"/>
    </row>
    <row r="90" spans="8:9" ht="18.75" hidden="1" x14ac:dyDescent="0.3">
      <c r="H90" s="62"/>
      <c r="I90" s="43"/>
    </row>
    <row r="91" spans="8:9" ht="18.75" hidden="1" x14ac:dyDescent="0.3">
      <c r="H91" s="62"/>
      <c r="I91" s="43"/>
    </row>
    <row r="92" spans="8:9" ht="18.75" hidden="1" x14ac:dyDescent="0.3">
      <c r="H92" s="62"/>
      <c r="I92" s="43"/>
    </row>
    <row r="93" spans="8:9" ht="18.75" hidden="1" x14ac:dyDescent="0.3">
      <c r="H93" s="62"/>
      <c r="I93" s="43"/>
    </row>
    <row r="94" spans="8:9" ht="18.75" hidden="1" x14ac:dyDescent="0.3">
      <c r="H94" s="62"/>
      <c r="I94" s="43"/>
    </row>
    <row r="95" spans="8:9" ht="18.75" hidden="1" x14ac:dyDescent="0.3">
      <c r="H95" s="62"/>
      <c r="I95" s="43"/>
    </row>
    <row r="96" spans="8:9" ht="18.75" hidden="1" x14ac:dyDescent="0.3">
      <c r="H96" s="62"/>
      <c r="I96" s="43"/>
    </row>
    <row r="97" spans="8:9" ht="18.75" hidden="1" x14ac:dyDescent="0.3">
      <c r="H97" s="62"/>
      <c r="I97" s="43"/>
    </row>
    <row r="98" spans="8:9" ht="18.75" hidden="1" x14ac:dyDescent="0.3">
      <c r="H98" s="62"/>
      <c r="I98" s="43"/>
    </row>
    <row r="99" spans="8:9" ht="18.75" hidden="1" x14ac:dyDescent="0.3">
      <c r="H99" s="62"/>
      <c r="I99" s="43"/>
    </row>
    <row r="100" spans="8:9" ht="18.75" hidden="1" x14ac:dyDescent="0.3">
      <c r="H100" s="62"/>
      <c r="I100" s="43"/>
    </row>
    <row r="101" spans="8:9" ht="18.75" hidden="1" x14ac:dyDescent="0.3">
      <c r="H101" s="62"/>
      <c r="I101" s="43"/>
    </row>
    <row r="102" spans="8:9" ht="18.75" hidden="1" x14ac:dyDescent="0.3">
      <c r="H102" s="62"/>
      <c r="I102" s="43"/>
    </row>
    <row r="103" spans="8:9" ht="18.75" hidden="1" x14ac:dyDescent="0.3">
      <c r="H103" s="62"/>
      <c r="I103" s="43"/>
    </row>
    <row r="104" spans="8:9" ht="18.75" hidden="1" x14ac:dyDescent="0.3">
      <c r="H104" s="62"/>
      <c r="I104" s="43"/>
    </row>
    <row r="105" spans="8:9" ht="18.75" hidden="1" x14ac:dyDescent="0.3">
      <c r="H105" s="62"/>
      <c r="I105" s="43"/>
    </row>
    <row r="106" spans="8:9" ht="18.75" hidden="1" x14ac:dyDescent="0.3">
      <c r="H106" s="62"/>
      <c r="I106" s="43"/>
    </row>
    <row r="107" spans="8:9" ht="18.75" hidden="1" x14ac:dyDescent="0.3">
      <c r="H107" s="62"/>
      <c r="I107" s="43"/>
    </row>
    <row r="108" spans="8:9" ht="18.75" hidden="1" x14ac:dyDescent="0.3">
      <c r="H108" s="62"/>
      <c r="I108" s="43"/>
    </row>
    <row r="109" spans="8:9" ht="18.75" hidden="1" x14ac:dyDescent="0.3">
      <c r="H109" s="62"/>
      <c r="I109" s="43"/>
    </row>
    <row r="110" spans="8:9" ht="18.75" hidden="1" x14ac:dyDescent="0.3">
      <c r="H110" s="62"/>
      <c r="I110" s="43"/>
    </row>
    <row r="111" spans="8:9" ht="18.75" hidden="1" x14ac:dyDescent="0.3">
      <c r="H111" s="62"/>
      <c r="I111" s="43"/>
    </row>
    <row r="112" spans="8:9" ht="18.75" hidden="1" x14ac:dyDescent="0.3">
      <c r="H112" s="62"/>
      <c r="I112" s="43"/>
    </row>
    <row r="113" spans="8:9" ht="18.75" hidden="1" x14ac:dyDescent="0.3">
      <c r="H113" s="62"/>
      <c r="I113" s="43"/>
    </row>
    <row r="114" spans="8:9" ht="18.75" hidden="1" x14ac:dyDescent="0.3">
      <c r="H114" s="62"/>
      <c r="I114" s="43"/>
    </row>
    <row r="115" spans="8:9" ht="18.75" hidden="1" x14ac:dyDescent="0.3">
      <c r="H115" s="62"/>
      <c r="I115" s="43"/>
    </row>
    <row r="116" spans="8:9" ht="18.75" hidden="1" x14ac:dyDescent="0.3">
      <c r="H116" s="62"/>
      <c r="I116" s="43"/>
    </row>
    <row r="117" spans="8:9" ht="18.75" hidden="1" x14ac:dyDescent="0.3">
      <c r="H117" s="62"/>
      <c r="I117" s="43"/>
    </row>
    <row r="118" spans="8:9" ht="18.75" hidden="1" x14ac:dyDescent="0.3">
      <c r="H118" s="62"/>
      <c r="I118" s="43"/>
    </row>
    <row r="119" spans="8:9" ht="18.75" hidden="1" x14ac:dyDescent="0.3">
      <c r="H119" s="62"/>
      <c r="I119" s="43"/>
    </row>
    <row r="120" spans="8:9" ht="18.75" hidden="1" x14ac:dyDescent="0.3"/>
    <row r="121" spans="8:9" ht="18.75" hidden="1" x14ac:dyDescent="0.3"/>
    <row r="162" ht="18" customHeight="1" x14ac:dyDescent="0.3"/>
    <row r="163" ht="18" customHeight="1" x14ac:dyDescent="0.3"/>
  </sheetData>
  <mergeCells count="3">
    <mergeCell ref="D3:I5"/>
    <mergeCell ref="B12:G13"/>
    <mergeCell ref="H13:I13"/>
  </mergeCells>
  <printOptions horizontalCentered="1"/>
  <pageMargins left="0.75000000000000011" right="0.75000000000000011" top="1" bottom="1" header="0.5" footer="0.5"/>
  <pageSetup paperSize="9" scale="87" orientation="portrait" horizontalDpi="4294967292" verticalDpi="4294967292"/>
  <headerFooter>
    <oddHeader>&amp;R&amp;"Calibri"&amp;7&amp;K000000 1 - General Business&amp;1#_x000D_</oddHeader>
  </headerFooter>
  <colBreaks count="1" manualBreakCount="1">
    <brk id="1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D2D08-904E-4809-A23D-873AC8B3B038}">
  <dimension ref="B3:O22"/>
  <sheetViews>
    <sheetView zoomScaleNormal="100" workbookViewId="0">
      <selection activeCell="D15" sqref="D15"/>
    </sheetView>
  </sheetViews>
  <sheetFormatPr defaultRowHeight="15.75" x14ac:dyDescent="0.25"/>
  <cols>
    <col min="1" max="1" width="3.25" customWidth="1"/>
    <col min="2" max="2" width="14.5" bestFit="1" customWidth="1"/>
    <col min="3" max="3" width="92.5" bestFit="1" customWidth="1"/>
    <col min="4" max="4" width="8.875" bestFit="1" customWidth="1"/>
    <col min="5" max="5" width="9.5" bestFit="1" customWidth="1"/>
    <col min="6" max="6" width="4.375" bestFit="1" customWidth="1"/>
    <col min="7" max="7" width="15.875" bestFit="1" customWidth="1"/>
    <col min="8" max="8" width="3.75" customWidth="1"/>
    <col min="9" max="9" width="16.75" bestFit="1" customWidth="1"/>
    <col min="10" max="10" width="22.625" bestFit="1" customWidth="1"/>
    <col min="11" max="11" width="3.5" customWidth="1"/>
    <col min="12" max="12" width="5.125" bestFit="1" customWidth="1"/>
    <col min="13" max="13" width="6.125" bestFit="1" customWidth="1"/>
    <col min="14" max="14" width="6.625" bestFit="1" customWidth="1"/>
    <col min="15" max="15" width="10.625" bestFit="1" customWidth="1"/>
  </cols>
  <sheetData>
    <row r="3" spans="2:15" x14ac:dyDescent="0.25">
      <c r="B3" s="146" t="s">
        <v>87</v>
      </c>
      <c r="C3" s="146" t="s">
        <v>88</v>
      </c>
      <c r="D3" s="146" t="s">
        <v>89</v>
      </c>
      <c r="E3" s="146" t="s">
        <v>90</v>
      </c>
      <c r="F3" s="146" t="s">
        <v>91</v>
      </c>
      <c r="G3" s="146" t="s">
        <v>138</v>
      </c>
      <c r="I3" s="130" t="s">
        <v>92</v>
      </c>
      <c r="J3" s="130" t="s">
        <v>93</v>
      </c>
      <c r="L3" s="146" t="s">
        <v>94</v>
      </c>
      <c r="M3" s="146" t="s">
        <v>95</v>
      </c>
      <c r="N3" s="146" t="s">
        <v>96</v>
      </c>
      <c r="O3" s="146" t="s">
        <v>97</v>
      </c>
    </row>
    <row r="4" spans="2:15" x14ac:dyDescent="0.25">
      <c r="B4" s="147" t="s">
        <v>104</v>
      </c>
      <c r="C4" s="147" t="s">
        <v>120</v>
      </c>
      <c r="D4" s="165" t="s">
        <v>139</v>
      </c>
      <c r="E4" s="149">
        <v>4.5359999999999996</v>
      </c>
      <c r="F4" s="148">
        <v>1</v>
      </c>
      <c r="G4" s="162">
        <v>63100.819199999998</v>
      </c>
      <c r="I4" s="131">
        <f>SUM(E4*F4)*1.1</f>
        <v>4.9896000000000003</v>
      </c>
      <c r="J4" s="132">
        <f>SUM(F4*G4)</f>
        <v>63100.819199999998</v>
      </c>
      <c r="L4" s="168">
        <v>18</v>
      </c>
      <c r="M4" s="168">
        <v>9.75</v>
      </c>
      <c r="N4" s="168">
        <v>2.1</v>
      </c>
      <c r="O4" s="168">
        <v>10.25</v>
      </c>
    </row>
    <row r="5" spans="2:15" x14ac:dyDescent="0.25">
      <c r="B5" s="164" t="s">
        <v>105</v>
      </c>
      <c r="C5" s="147" t="s">
        <v>121</v>
      </c>
      <c r="D5" s="165" t="s">
        <v>139</v>
      </c>
      <c r="E5" s="163">
        <f>2500*0.4536</f>
        <v>1134</v>
      </c>
      <c r="F5" s="166">
        <v>2</v>
      </c>
      <c r="G5" s="167">
        <v>15685.42</v>
      </c>
      <c r="I5" s="131">
        <f>SUM(E5*F5)*1.1</f>
        <v>2494.8000000000002</v>
      </c>
      <c r="J5" s="132">
        <f>SUM(F5*G5)</f>
        <v>31370.84</v>
      </c>
      <c r="L5" s="168">
        <v>18</v>
      </c>
      <c r="M5" s="168">
        <v>9.75</v>
      </c>
      <c r="N5" s="168">
        <v>2.1</v>
      </c>
      <c r="O5" s="168">
        <v>10.25</v>
      </c>
    </row>
    <row r="6" spans="2:15" x14ac:dyDescent="0.25">
      <c r="B6" s="147" t="s">
        <v>106</v>
      </c>
      <c r="C6" s="147" t="s">
        <v>122</v>
      </c>
      <c r="D6" s="165" t="s">
        <v>139</v>
      </c>
      <c r="E6" s="149">
        <v>136.078</v>
      </c>
      <c r="F6" s="148">
        <v>1</v>
      </c>
      <c r="G6" s="162">
        <v>30000</v>
      </c>
      <c r="I6" s="131">
        <f t="shared" ref="I6:I21" si="0">SUM(E6*F6)*1.1</f>
        <v>149.68580000000003</v>
      </c>
      <c r="J6" s="132">
        <f t="shared" ref="J6:J21" si="1">SUM(F6*G6)</f>
        <v>30000</v>
      </c>
      <c r="L6" s="168">
        <v>18</v>
      </c>
      <c r="M6" s="168">
        <v>9.75</v>
      </c>
      <c r="N6" s="168">
        <v>2.1</v>
      </c>
      <c r="O6" s="168">
        <v>10.25</v>
      </c>
    </row>
    <row r="7" spans="2:15" x14ac:dyDescent="0.25">
      <c r="B7" s="147" t="s">
        <v>107</v>
      </c>
      <c r="C7" s="147" t="s">
        <v>123</v>
      </c>
      <c r="D7" s="165" t="s">
        <v>139</v>
      </c>
      <c r="E7" s="149">
        <v>45.359000000000002</v>
      </c>
      <c r="F7" s="148">
        <v>1</v>
      </c>
      <c r="G7" s="162">
        <v>28529</v>
      </c>
      <c r="I7" s="131">
        <f t="shared" si="0"/>
        <v>49.894900000000007</v>
      </c>
      <c r="J7" s="132">
        <f t="shared" si="1"/>
        <v>28529</v>
      </c>
      <c r="L7" s="168">
        <v>18</v>
      </c>
      <c r="M7" s="168">
        <v>9.75</v>
      </c>
      <c r="N7" s="168">
        <v>2.1</v>
      </c>
      <c r="O7" s="168">
        <v>10.25</v>
      </c>
    </row>
    <row r="8" spans="2:15" x14ac:dyDescent="0.25">
      <c r="B8" s="147" t="s">
        <v>108</v>
      </c>
      <c r="C8" s="147" t="s">
        <v>124</v>
      </c>
      <c r="D8" s="165" t="s">
        <v>139</v>
      </c>
      <c r="E8" s="149">
        <v>134.26300000000001</v>
      </c>
      <c r="F8" s="148">
        <v>1</v>
      </c>
      <c r="G8" s="162">
        <v>23409.1</v>
      </c>
      <c r="I8" s="131">
        <f t="shared" si="0"/>
        <v>147.68930000000003</v>
      </c>
      <c r="J8" s="132">
        <f t="shared" si="1"/>
        <v>23409.1</v>
      </c>
      <c r="L8" s="168">
        <v>18</v>
      </c>
      <c r="M8" s="168">
        <v>9.75</v>
      </c>
      <c r="N8" s="168">
        <v>2.1</v>
      </c>
      <c r="O8" s="168">
        <v>10.25</v>
      </c>
    </row>
    <row r="9" spans="2:15" x14ac:dyDescent="0.25">
      <c r="B9" s="147" t="s">
        <v>109</v>
      </c>
      <c r="C9" s="147" t="s">
        <v>125</v>
      </c>
      <c r="D9" s="165" t="s">
        <v>139</v>
      </c>
      <c r="E9" s="149">
        <v>9.6159999999999997</v>
      </c>
      <c r="F9" s="148">
        <v>1</v>
      </c>
      <c r="G9" s="162">
        <v>20000</v>
      </c>
      <c r="I9" s="131">
        <f t="shared" si="0"/>
        <v>10.5776</v>
      </c>
      <c r="J9" s="132">
        <f t="shared" si="1"/>
        <v>20000</v>
      </c>
      <c r="L9" s="168">
        <v>18</v>
      </c>
      <c r="M9" s="168">
        <v>9.75</v>
      </c>
      <c r="N9" s="168">
        <v>2.1</v>
      </c>
      <c r="O9" s="168">
        <v>10.25</v>
      </c>
    </row>
    <row r="10" spans="2:15" x14ac:dyDescent="0.25">
      <c r="B10" s="147" t="s">
        <v>110</v>
      </c>
      <c r="C10" s="147" t="s">
        <v>126</v>
      </c>
      <c r="D10" s="165" t="s">
        <v>139</v>
      </c>
      <c r="E10" s="149">
        <v>25.853999999999999</v>
      </c>
      <c r="F10" s="148">
        <v>3</v>
      </c>
      <c r="G10" s="162">
        <v>5176.9117999999999</v>
      </c>
      <c r="I10" s="131">
        <f t="shared" si="0"/>
        <v>85.318200000000004</v>
      </c>
      <c r="J10" s="132">
        <f t="shared" si="1"/>
        <v>15530.7354</v>
      </c>
      <c r="L10" s="168">
        <v>18</v>
      </c>
      <c r="M10" s="168">
        <v>9.75</v>
      </c>
      <c r="N10" s="168">
        <v>2.1</v>
      </c>
      <c r="O10" s="168">
        <v>10.25</v>
      </c>
    </row>
    <row r="11" spans="2:15" x14ac:dyDescent="0.25">
      <c r="B11" s="147" t="s">
        <v>111</v>
      </c>
      <c r="C11" s="147" t="s">
        <v>127</v>
      </c>
      <c r="D11" s="165" t="s">
        <v>139</v>
      </c>
      <c r="E11" s="149">
        <v>4.5359999999999996</v>
      </c>
      <c r="F11" s="148">
        <v>2</v>
      </c>
      <c r="G11" s="162">
        <v>5000</v>
      </c>
      <c r="I11" s="131">
        <f t="shared" si="0"/>
        <v>9.9792000000000005</v>
      </c>
      <c r="J11" s="132">
        <f t="shared" si="1"/>
        <v>10000</v>
      </c>
      <c r="L11" s="168">
        <v>18</v>
      </c>
      <c r="M11" s="168">
        <v>9.75</v>
      </c>
      <c r="N11" s="168">
        <v>2.1</v>
      </c>
      <c r="O11" s="168">
        <v>10.25</v>
      </c>
    </row>
    <row r="12" spans="2:15" x14ac:dyDescent="0.25">
      <c r="B12" s="147" t="s">
        <v>112</v>
      </c>
      <c r="C12" s="147" t="s">
        <v>128</v>
      </c>
      <c r="D12" s="165" t="s">
        <v>139</v>
      </c>
      <c r="E12" s="149">
        <v>9.0719999999999992</v>
      </c>
      <c r="F12" s="148">
        <v>1</v>
      </c>
      <c r="G12" s="162">
        <v>8000</v>
      </c>
      <c r="I12" s="131">
        <f t="shared" si="0"/>
        <v>9.9792000000000005</v>
      </c>
      <c r="J12" s="132">
        <f t="shared" si="1"/>
        <v>8000</v>
      </c>
      <c r="L12" s="168">
        <v>18</v>
      </c>
      <c r="M12" s="168">
        <v>9.75</v>
      </c>
      <c r="N12" s="168">
        <v>2.1</v>
      </c>
      <c r="O12" s="168">
        <v>10.25</v>
      </c>
    </row>
    <row r="13" spans="2:15" x14ac:dyDescent="0.25">
      <c r="B13" s="147" t="s">
        <v>113</v>
      </c>
      <c r="C13" s="147" t="s">
        <v>129</v>
      </c>
      <c r="D13" s="165" t="s">
        <v>139</v>
      </c>
      <c r="E13" s="149">
        <v>25.855</v>
      </c>
      <c r="F13" s="148">
        <v>1</v>
      </c>
      <c r="G13" s="162">
        <v>5877.1019999999999</v>
      </c>
      <c r="I13" s="131">
        <f t="shared" si="0"/>
        <v>28.440500000000004</v>
      </c>
      <c r="J13" s="132">
        <f t="shared" si="1"/>
        <v>5877.1019999999999</v>
      </c>
      <c r="L13" s="168">
        <v>18</v>
      </c>
      <c r="M13" s="168">
        <v>9.75</v>
      </c>
      <c r="N13" s="168">
        <v>2.1</v>
      </c>
      <c r="O13" s="168">
        <v>10.25</v>
      </c>
    </row>
    <row r="14" spans="2:15" x14ac:dyDescent="0.25">
      <c r="B14" s="147" t="s">
        <v>114</v>
      </c>
      <c r="C14" s="147" t="s">
        <v>130</v>
      </c>
      <c r="D14" s="165" t="s">
        <v>139</v>
      </c>
      <c r="E14" s="149">
        <v>7.9379999999999997</v>
      </c>
      <c r="F14" s="148">
        <v>1</v>
      </c>
      <c r="G14" s="162">
        <v>5702.83</v>
      </c>
      <c r="I14" s="131">
        <f t="shared" si="0"/>
        <v>8.7317999999999998</v>
      </c>
      <c r="J14" s="132">
        <f t="shared" si="1"/>
        <v>5702.83</v>
      </c>
      <c r="L14" s="168">
        <v>18</v>
      </c>
      <c r="M14" s="168">
        <v>9.75</v>
      </c>
      <c r="N14" s="168">
        <v>2.1</v>
      </c>
      <c r="O14" s="168">
        <v>10.25</v>
      </c>
    </row>
    <row r="15" spans="2:15" x14ac:dyDescent="0.25">
      <c r="B15" s="147" t="s">
        <v>115</v>
      </c>
      <c r="C15" s="147" t="s">
        <v>131</v>
      </c>
      <c r="D15" s="165" t="s">
        <v>139</v>
      </c>
      <c r="E15" s="149">
        <v>4.99</v>
      </c>
      <c r="F15" s="148">
        <v>1</v>
      </c>
      <c r="G15" s="162">
        <v>4150.9558999999999</v>
      </c>
      <c r="I15" s="131">
        <f t="shared" si="0"/>
        <v>5.4890000000000008</v>
      </c>
      <c r="J15" s="132">
        <f t="shared" si="1"/>
        <v>4150.9558999999999</v>
      </c>
      <c r="L15" s="168">
        <v>18</v>
      </c>
      <c r="M15" s="168">
        <v>9.75</v>
      </c>
      <c r="N15" s="168">
        <v>2.1</v>
      </c>
      <c r="O15" s="168">
        <v>10.25</v>
      </c>
    </row>
    <row r="16" spans="2:15" x14ac:dyDescent="0.25">
      <c r="B16" s="147" t="s">
        <v>116</v>
      </c>
      <c r="C16" s="147" t="s">
        <v>132</v>
      </c>
      <c r="D16" s="165" t="s">
        <v>139</v>
      </c>
      <c r="E16" s="149">
        <v>7.5750000000000002</v>
      </c>
      <c r="F16" s="148">
        <v>1</v>
      </c>
      <c r="G16" s="162">
        <v>3933</v>
      </c>
      <c r="I16" s="131">
        <f t="shared" si="0"/>
        <v>8.3325000000000014</v>
      </c>
      <c r="J16" s="132">
        <f t="shared" si="1"/>
        <v>3933</v>
      </c>
      <c r="L16" s="168">
        <v>18</v>
      </c>
      <c r="M16" s="168">
        <v>9.75</v>
      </c>
      <c r="N16" s="168">
        <v>2.1</v>
      </c>
      <c r="O16" s="168">
        <v>10.25</v>
      </c>
    </row>
    <row r="17" spans="2:15" x14ac:dyDescent="0.25">
      <c r="B17" s="147" t="s">
        <v>117</v>
      </c>
      <c r="C17" s="147" t="s">
        <v>133</v>
      </c>
      <c r="D17" s="165" t="s">
        <v>139</v>
      </c>
      <c r="E17" s="149">
        <v>4.5359999999999996</v>
      </c>
      <c r="F17" s="148">
        <v>1</v>
      </c>
      <c r="G17" s="162">
        <v>2981.71</v>
      </c>
      <c r="I17" s="131">
        <f t="shared" si="0"/>
        <v>4.9896000000000003</v>
      </c>
      <c r="J17" s="132">
        <f t="shared" si="1"/>
        <v>2981.71</v>
      </c>
      <c r="L17" s="168">
        <v>18</v>
      </c>
      <c r="M17" s="168">
        <v>9.75</v>
      </c>
      <c r="N17" s="168">
        <v>2.1</v>
      </c>
      <c r="O17" s="168">
        <v>10.25</v>
      </c>
    </row>
    <row r="18" spans="2:15" x14ac:dyDescent="0.25">
      <c r="B18" s="147" t="s">
        <v>118</v>
      </c>
      <c r="C18" s="147" t="s">
        <v>134</v>
      </c>
      <c r="D18" s="165" t="s">
        <v>139</v>
      </c>
      <c r="E18" s="149">
        <v>4.5359999999999996</v>
      </c>
      <c r="F18" s="148">
        <v>1</v>
      </c>
      <c r="G18" s="162">
        <v>1891.99</v>
      </c>
      <c r="I18" s="131">
        <f t="shared" si="0"/>
        <v>4.9896000000000003</v>
      </c>
      <c r="J18" s="132">
        <f t="shared" si="1"/>
        <v>1891.99</v>
      </c>
      <c r="L18" s="168">
        <v>18</v>
      </c>
      <c r="M18" s="168">
        <v>9.75</v>
      </c>
      <c r="N18" s="168">
        <v>2.1</v>
      </c>
      <c r="O18" s="168">
        <v>10.25</v>
      </c>
    </row>
    <row r="19" spans="2:15" x14ac:dyDescent="0.25">
      <c r="B19" s="147"/>
      <c r="C19" s="147" t="s">
        <v>135</v>
      </c>
      <c r="D19" s="165" t="s">
        <v>139</v>
      </c>
      <c r="E19" s="149">
        <v>4.5359999999999996</v>
      </c>
      <c r="F19" s="148">
        <v>2</v>
      </c>
      <c r="G19" s="162">
        <v>800</v>
      </c>
      <c r="I19" s="131">
        <f t="shared" si="0"/>
        <v>9.9792000000000005</v>
      </c>
      <c r="J19" s="132">
        <f t="shared" si="1"/>
        <v>1600</v>
      </c>
      <c r="L19" s="168">
        <v>18</v>
      </c>
      <c r="M19" s="168">
        <v>9.75</v>
      </c>
      <c r="N19" s="168">
        <v>2.1</v>
      </c>
      <c r="O19" s="168">
        <v>10.25</v>
      </c>
    </row>
    <row r="20" spans="2:15" x14ac:dyDescent="0.25">
      <c r="B20" s="147" t="s">
        <v>119</v>
      </c>
      <c r="C20" s="147" t="s">
        <v>136</v>
      </c>
      <c r="D20" s="165" t="s">
        <v>139</v>
      </c>
      <c r="E20" s="149">
        <v>4.99</v>
      </c>
      <c r="F20" s="148">
        <v>1</v>
      </c>
      <c r="G20" s="162">
        <v>1572.36</v>
      </c>
      <c r="I20" s="131">
        <f t="shared" si="0"/>
        <v>5.4890000000000008</v>
      </c>
      <c r="J20" s="132">
        <f t="shared" si="1"/>
        <v>1572.36</v>
      </c>
      <c r="L20" s="168">
        <v>18</v>
      </c>
      <c r="M20" s="168">
        <v>9.75</v>
      </c>
      <c r="N20" s="168">
        <v>2.1</v>
      </c>
      <c r="O20" s="168">
        <v>10.25</v>
      </c>
    </row>
    <row r="21" spans="2:15" x14ac:dyDescent="0.25">
      <c r="B21" s="147"/>
      <c r="C21" s="147" t="s">
        <v>137</v>
      </c>
      <c r="D21" s="165" t="s">
        <v>139</v>
      </c>
      <c r="E21" s="149">
        <v>3.6280000000000001</v>
      </c>
      <c r="F21" s="148">
        <v>4</v>
      </c>
      <c r="G21" s="162">
        <v>375</v>
      </c>
      <c r="I21" s="131">
        <f t="shared" si="0"/>
        <v>15.963200000000002</v>
      </c>
      <c r="J21" s="132">
        <f t="shared" si="1"/>
        <v>1500</v>
      </c>
      <c r="L21" s="168">
        <v>18</v>
      </c>
      <c r="M21" s="168">
        <v>9.75</v>
      </c>
      <c r="N21" s="168">
        <v>2.1</v>
      </c>
      <c r="O21" s="168">
        <v>10.25</v>
      </c>
    </row>
    <row r="22" spans="2:15" x14ac:dyDescent="0.25">
      <c r="I22" s="133">
        <f>SUM(I4:I21)</f>
        <v>3055.3182000000015</v>
      </c>
      <c r="J22" s="134">
        <f>SUM(J4:J21)</f>
        <v>259150.44249999998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24b3a0-0e3b-42be-bdab-0c5aebf2d0cb" xsi:nil="true"/>
    <lcf76f155ced4ddcb4097134ff3c332f xmlns="18e5d8ca-9914-4628-9fe7-d6159a0345c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69ADB95B0A314DAAF01FB90AEC3454" ma:contentTypeVersion="19" ma:contentTypeDescription="Create a new document." ma:contentTypeScope="" ma:versionID="ae87fada902c6f700066d30c0742ab15">
  <xsd:schema xmlns:xsd="http://www.w3.org/2001/XMLSchema" xmlns:xs="http://www.w3.org/2001/XMLSchema" xmlns:p="http://schemas.microsoft.com/office/2006/metadata/properties" xmlns:ns2="18e5d8ca-9914-4628-9fe7-d6159a0345c1" xmlns:ns3="8224b3a0-0e3b-42be-bdab-0c5aebf2d0cb" targetNamespace="http://schemas.microsoft.com/office/2006/metadata/properties" ma:root="true" ma:fieldsID="a19554117c0ee1d25839816b71d7afe0" ns2:_="" ns3:_="">
    <xsd:import namespace="18e5d8ca-9914-4628-9fe7-d6159a0345c1"/>
    <xsd:import namespace="8224b3a0-0e3b-42be-bdab-0c5aebf2d0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e5d8ca-9914-4628-9fe7-d6159a0345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f7124ec-b12e-4cf1-9c98-cf5da65d3d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24b3a0-0e3b-42be-bdab-0c5aebf2d0c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166dc54-2980-4f15-b009-44c6b616d5c1}" ma:internalName="TaxCatchAll" ma:showField="CatchAllData" ma:web="8224b3a0-0e3b-42be-bdab-0c5aebf2d0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49525A-CD7B-474E-BC1E-437CF51D0222}">
  <ds:schemaRefs>
    <ds:schemaRef ds:uri="http://purl.org/dc/terms/"/>
    <ds:schemaRef ds:uri="http://schemas.openxmlformats.org/package/2006/metadata/core-properties"/>
    <ds:schemaRef ds:uri="18e5d8ca-9914-4628-9fe7-d6159a0345c1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8224b3a0-0e3b-42be-bdab-0c5aebf2d0c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188E5BD-0AF4-456A-A9A9-1A57D94B43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EAC596-B4D8-42E6-8370-02546CDBFF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e5d8ca-9914-4628-9fe7-d6159a0345c1"/>
    <ds:schemaRef ds:uri="8224b3a0-0e3b-42be-bdab-0c5aebf2d0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Pathfinder</vt:lpstr>
      <vt:lpstr>Despesas de Importação</vt:lpstr>
      <vt:lpstr>base</vt:lpstr>
    </vt:vector>
  </TitlesOfParts>
  <Company>Prado Giraldelli Consultoria Empresarial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Giraldelli</dc:creator>
  <cp:lastModifiedBy>Elias, Thiago</cp:lastModifiedBy>
  <dcterms:created xsi:type="dcterms:W3CDTF">2015-09-27T21:09:51Z</dcterms:created>
  <dcterms:modified xsi:type="dcterms:W3CDTF">2026-09-22T20:50:40Z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0x0101008369ADB95B0A314DAAF01FB90AEC3454</vt:lpwstr>
  </property>
  <property fmtid="{D5CDD505-2E9C-101B-9397-08002B2CF9AE}" pid="3" name="MediaServiceImageTags">
    <vt:lpwstr/>
  </property>
  <property fmtid="{D5CDD505-2E9C-101B-9397-08002B2CF9AE}" pid="4" name="MSIP_Label_57903732-8a6f-4e0e-952b-fe0b250d49cc_Enabled">
    <vt:lpwstr>true</vt:lpwstr>
  </property>
  <property fmtid="{D5CDD505-2E9C-101B-9397-08002B2CF9AE}" pid="5" name="MSIP_Label_57903732-8a6f-4e0e-952b-fe0b250d49cc_SetDate">
    <vt:lpwstr>2024-12-17T15:15:33Z</vt:lpwstr>
  </property>
  <property fmtid="{D5CDD505-2E9C-101B-9397-08002B2CF9AE}" pid="6" name="MSIP_Label_57903732-8a6f-4e0e-952b-fe0b250d49cc_Method">
    <vt:lpwstr>Standard</vt:lpwstr>
  </property>
  <property fmtid="{D5CDD505-2E9C-101B-9397-08002B2CF9AE}" pid="7" name="MSIP_Label_57903732-8a6f-4e0e-952b-fe0b250d49cc_Name">
    <vt:lpwstr>1- General Business</vt:lpwstr>
  </property>
  <property fmtid="{D5CDD505-2E9C-101B-9397-08002B2CF9AE}" pid="8" name="MSIP_Label_57903732-8a6f-4e0e-952b-fe0b250d49cc_SiteId">
    <vt:lpwstr>90f1aac4-c661-46a9-83fd-e021705adcc9</vt:lpwstr>
  </property>
  <property fmtid="{D5CDD505-2E9C-101B-9397-08002B2CF9AE}" pid="9" name="MSIP_Label_57903732-8a6f-4e0e-952b-fe0b250d49cc_ActionId">
    <vt:lpwstr>94561370-6b9e-4161-8b62-58c00cec2cd4</vt:lpwstr>
  </property>
  <property fmtid="{D5CDD505-2E9C-101B-9397-08002B2CF9AE}" pid="10" name="MSIP_Label_57903732-8a6f-4e0e-952b-fe0b250d49cc_ContentBits">
    <vt:lpwstr>1</vt:lpwstr>
  </property>
</Properties>
</file>