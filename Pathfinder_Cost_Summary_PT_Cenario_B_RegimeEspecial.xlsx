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ario B - Regime Especial" sheetId="1" state="visible" r:id="rId1"/>
    <sheet xmlns:r="http://schemas.openxmlformats.org/officeDocument/2006/relationships" name="Nota Estrategica - CP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444444"/>
      <sz val="10"/>
    </font>
    <font>
      <name val="Aptos Display"/>
      <b val="1"/>
      <color rgb="0014315B"/>
      <sz val="12"/>
    </font>
    <font>
      <b val="1"/>
      <color rgb="00FFFFFF"/>
    </font>
    <font>
      <b val="1"/>
    </font>
    <font>
      <b val="1"/>
      <i val="1"/>
      <color rgb="0014315B"/>
    </font>
    <font>
      <b val="1"/>
      <i val="1"/>
      <color rgb="009C0006"/>
    </font>
    <font>
      <b val="1"/>
      <color rgb="00FFFFFF"/>
      <sz val="14"/>
    </font>
    <font>
      <b val="1"/>
      <color rgb="0014315B"/>
      <sz val="11"/>
    </font>
    <font>
      <sz val="10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41649A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/>
    </xf>
    <xf numFmtId="4" fontId="5" fillId="3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0" fontId="0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/>
    </xf>
    <xf numFmtId="4" fontId="5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4" fontId="5" fillId="6" borderId="1" applyAlignment="1" pivotButton="0" quotePrefix="0" xfId="0">
      <alignment vertical="center"/>
    </xf>
    <xf numFmtId="0" fontId="0" fillId="6" borderId="1" applyAlignment="1" pivotButton="0" quotePrefix="0" xfId="0">
      <alignment vertical="top" wrapText="1"/>
    </xf>
    <xf numFmtId="0" fontId="6" fillId="0" borderId="0" pivotButton="0" quotePrefix="0" xfId="0"/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4" fontId="0" fillId="6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8" fillId="2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Analise Pathfinder GDT</author>
  </authors>
  <commentList>
    <comment ref="B36" authorId="0" shapeId="0">
      <text>
        <t>Checagem: 412.500 (material) + 20.000 (transporte) + 275.290,60 (servico) = 707.790,60 - bate exatamente com o valor hoje lancado como uma unica linha no Cenario 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52" customWidth="1" min="2" max="2"/>
    <col width="16" customWidth="1" min="3" max="3"/>
    <col width="16" customWidth="1" min="4" max="4"/>
    <col width="78" customWidth="1" min="5" max="5"/>
  </cols>
  <sheetData>
    <row r="1" ht="26" customHeight="1">
      <c r="B1" s="1" t="inlineStr">
        <is>
          <t>CENARIO B - REGIME ESPECIAL SUPERMETAL + ISS SOBRE SERVICO</t>
        </is>
      </c>
    </row>
    <row r="2" ht="46" customHeight="1">
      <c r="B2" s="2" t="inlineStr">
        <is>
          <t>Objetivo: separar, dentro do custo 'Supermetal - GDT Integration/Assembly', o que e MATERIAL (sujeito a ICMS/IPI/PIS-COFINS) do que e SERVICO/mao de obra (sujeito a ISS), em vez de tributar o valor inteiro como se fosse uma venda de mercadoria. Todas as premissas abaixo estao comentadas para revisao do time de tax antes de qualquer decisao comercial.</t>
        </is>
      </c>
    </row>
    <row r="4">
      <c r="B4" s="3" t="inlineStr">
        <is>
          <t>0) INPUTS EDITAVEIS (mesma metodologia do Executive Summary (P&amp;L))</t>
        </is>
      </c>
      <c r="C4" s="4" t="n"/>
      <c r="D4" s="4" t="n"/>
      <c r="E4" s="4" t="n"/>
    </row>
    <row r="5">
      <c r="B5" s="5" t="inlineStr">
        <is>
          <t>Descricao</t>
        </is>
      </c>
      <c r="C5" s="5" t="inlineStr">
        <is>
          <t>R$</t>
        </is>
      </c>
      <c r="D5" s="5" t="inlineStr">
        <is>
          <t>US$</t>
        </is>
      </c>
      <c r="E5" s="5" t="inlineStr">
        <is>
          <t>Premissa / Fonte (para o time de tax)</t>
        </is>
      </c>
    </row>
    <row r="6">
      <c r="B6" s="6" t="inlineStr">
        <is>
          <t>Taxa de cambio (USD-&gt;BRL)</t>
        </is>
      </c>
      <c r="C6" s="7" t="n">
        <v>5.1</v>
      </c>
      <c r="D6" s="7" t="n"/>
      <c r="E6" s="8" t="inlineStr">
        <is>
          <t>Copiado do Executive Summary (P&amp;L), celula B3 do Pathfinder_Cost_Summary_PT.xlsx.</t>
        </is>
      </c>
    </row>
    <row r="7">
      <c r="B7" s="6" t="inlineStr">
        <is>
          <t>Margem total do negocio (TDM)</t>
        </is>
      </c>
      <c r="C7" s="7" t="n">
        <v>0.45</v>
      </c>
      <c r="D7" s="7" t="n"/>
      <c r="E7" s="8" t="inlineStr">
        <is>
          <t>Copiado do Executive Summary (P&amp;L), celula B4. E o mesmo alvo de margem usado no cenario atual (Cenario A); nao muda entre cenarios.</t>
        </is>
      </c>
    </row>
    <row r="8">
      <c r="B8" s="6" t="inlineStr">
        <is>
          <t>PIS/COFINS (mantido igual ao Cenario A)</t>
        </is>
      </c>
      <c r="C8" s="7" t="n">
        <v>0.1006</v>
      </c>
      <c r="D8" s="7" t="n"/>
      <c r="E8" s="8" t="inlineStr">
        <is>
          <t>PREMISSA A CONFIRMAR COM TAX: assumimos que o PIS/COFINS incide igual sobre mercadoria e sobre servico (mesma aliquota blended 10,06% do Cenario A). Na pratica pode haver diferenca de regime (cumulativo x nao cumulativo) entre a nota fiscal de servico e a nota fiscal de mercadoria - pedir confirmacao.</t>
        </is>
      </c>
    </row>
    <row r="9">
      <c r="B9" s="6" t="inlineStr">
        <is>
          <t>ICMS - Regime Especial Supermetal (materiais)</t>
        </is>
      </c>
      <c r="C9" s="7" t="n">
        <v>0.015</v>
      </c>
      <c r="D9" s="7" t="n"/>
      <c r="E9" s="8" t="inlineStr">
        <is>
          <t>ENCONTRADO NA PROPRIA COTACAO DA SUPERMETAL: aba 'Container in a GDT' do arquivo 'Pathfinder GDT MRS - Cost Rollup - Rev0.xlsx', linha 13, coluna 'Regime Especial 1,5%'. Ou seja, a propria Supermetal ja cotou essa operacao assumindo um Regime Especial de ICMS de 1,5% (em vez do 18% padrao usado hoje no Cenario A). PRECISA CONFIRMACAO: (a) se esse regime existe e esta ativo hoje junto a SEFAZ-MG, (b) se e aplicavel a essa operacao especifica (indutrializacao por encomenda) e nao apenas a cotacao antiga.</t>
        </is>
      </c>
    </row>
    <row r="10">
      <c r="B10" s="6" t="inlineStr">
        <is>
          <t>IPI - Regime Especial Supermetal (materiais)</t>
        </is>
      </c>
      <c r="C10" s="7" t="n">
        <v>0</v>
      </c>
      <c r="D10" s="7" t="n"/>
      <c r="E10" s="8" t="inlineStr">
        <is>
          <t>MESMA FONTE: aba 'Container in a GDT', linha 14 ('IPI' = 0). A cotacao da Supermetal ja assumia IPI = 0% para essa operacao. CONFIRMAR COM TAX se isso e por a operacao ser indutrializacao por encomenda de bem de terceiro (fora do campo de incidencia do IPI) ou se e apenas uma omissao da cotacao antiga.</t>
        </is>
      </c>
    </row>
    <row r="11">
      <c r="B11" s="6" t="inlineStr">
        <is>
          <t>ISS sobre a parcela de servico (mao de obra)</t>
        </is>
      </c>
      <c r="C11" s="7" t="n">
        <v>0.05</v>
      </c>
      <c r="D11" s="7" t="n"/>
      <c r="E11" s="8" t="inlineStr">
        <is>
          <t>PLACEHOLDER A CONFIRMAR: nao encontramos a aliquota real do ISS do municipio onde a Supermetal presta o servico. Usamos 5% (teto comum para servicos de instalacao/indutrializacao no item 14.01/14.06 da LC 116/03) apenas para dimensionar a ordem de grandeza. Precisa ser substituido pela aliquota real do municipio antes de qualquer decisao.</t>
        </is>
      </c>
    </row>
    <row r="13">
      <c r="B13" s="3" t="inlineStr">
        <is>
          <t>1) DECOMPOSICAO DO CUSTO SUPERMETAL EM MATERIAL x SERVICO</t>
        </is>
      </c>
      <c r="C13" s="4" t="n"/>
      <c r="D13" s="4" t="n"/>
      <c r="E13" s="4" t="n"/>
    </row>
    <row r="14">
      <c r="B14" s="5" t="inlineStr">
        <is>
          <t>Descricao</t>
        </is>
      </c>
      <c r="C14" s="5" t="inlineStr">
        <is>
          <t>R$</t>
        </is>
      </c>
      <c r="D14" s="5" t="inlineStr">
        <is>
          <t>US$</t>
        </is>
      </c>
      <c r="E14" s="5" t="inlineStr">
        <is>
          <t>Premissa / Fonte (para o time de tax)</t>
        </is>
      </c>
    </row>
    <row r="15">
      <c r="B15" s="6" t="inlineStr">
        <is>
          <t>Container + Laudo Contaminantes (SM)</t>
        </is>
      </c>
      <c r="C15" s="7" t="n">
        <v>70000</v>
      </c>
      <c r="D15" s="7">
        <f>C15/$C$6</f>
        <v/>
      </c>
      <c r="E15" s="8" t="inlineStr">
        <is>
          <t>Fonte: 'Container in a GDT', linha 24, coluna 'Extended'.</t>
        </is>
      </c>
    </row>
    <row r="16">
      <c r="B16" s="6" t="inlineStr">
        <is>
          <t>Pneumatica (tubos, mangueiras, conexoes) (SM)</t>
        </is>
      </c>
      <c r="C16" s="7" t="n">
        <v>25000</v>
      </c>
      <c r="D16" s="7">
        <f>C16/$C$6</f>
        <v/>
      </c>
      <c r="E16" s="8" t="inlineStr">
        <is>
          <t>Fonte: linha 25 da mesma aba.</t>
        </is>
      </c>
    </row>
    <row r="17">
      <c r="B17" s="6" t="inlineStr">
        <is>
          <t>Conexao do rack eletrico</t>
        </is>
      </c>
      <c r="C17" s="7" t="n">
        <v>25000</v>
      </c>
      <c r="D17" s="7">
        <f>C17/$C$6</f>
        <v/>
      </c>
      <c r="E17" s="8" t="inlineStr">
        <is>
          <t>Fonte: linha 26.</t>
        </is>
      </c>
    </row>
    <row r="18">
      <c r="B18" s="6" t="inlineStr">
        <is>
          <t>Eletrica (fiacao, luzes, strobe, steplights) (SM)</t>
        </is>
      </c>
      <c r="C18" s="7" t="n">
        <v>5000</v>
      </c>
      <c r="D18" s="7">
        <f>C18/$C$6</f>
        <v/>
      </c>
      <c r="E18" s="8" t="inlineStr">
        <is>
          <t>Fonte: linha 27.</t>
        </is>
      </c>
    </row>
    <row r="19">
      <c r="B19" s="6" t="inlineStr">
        <is>
          <t>Conectores/jumpers MU (SM)</t>
        </is>
      </c>
      <c r="C19" s="7" t="n">
        <v>60000</v>
      </c>
      <c r="D19" s="7">
        <f>C19/$C$6</f>
        <v/>
      </c>
      <c r="E19" s="8" t="inlineStr">
        <is>
          <t>Fonte: linha 28.</t>
        </is>
      </c>
    </row>
    <row r="20">
      <c r="B20" s="6" t="inlineStr">
        <is>
          <t>Ar condicionado</t>
        </is>
      </c>
      <c r="C20" s="7" t="n">
        <v>100000</v>
      </c>
      <c r="D20" s="7">
        <f>C20/$C$6</f>
        <v/>
      </c>
      <c r="E20" s="8" t="inlineStr">
        <is>
          <t>Fonte: linha 29.</t>
        </is>
      </c>
    </row>
    <row r="21">
      <c r="B21" s="6" t="inlineStr">
        <is>
          <t>Isolamento termico</t>
        </is>
      </c>
      <c r="C21" s="7" t="n">
        <v>100000</v>
      </c>
      <c r="D21" s="7">
        <f>C21/$C$6</f>
        <v/>
      </c>
      <c r="E21" s="8" t="inlineStr">
        <is>
          <t>Fonte: linha 30.</t>
        </is>
      </c>
    </row>
    <row r="22">
      <c r="B22" s="6" t="inlineStr">
        <is>
          <t>Aco (reparo do vagao, porta de acesso, escada)</t>
        </is>
      </c>
      <c r="C22" s="7" t="n">
        <v>12500</v>
      </c>
      <c r="D22" s="7">
        <f>C22/$C$6</f>
        <v/>
      </c>
      <c r="E22" s="8" t="inlineStr">
        <is>
          <t>Fonte: linha 31 (25 R$/kg).</t>
        </is>
      </c>
    </row>
    <row r="23">
      <c r="B23" s="6" t="inlineStr">
        <is>
          <t>Pintura e rotulagem</t>
        </is>
      </c>
      <c r="C23" s="7" t="n">
        <v>5000</v>
      </c>
      <c r="D23" s="7">
        <f>C23/$C$6</f>
        <v/>
      </c>
      <c r="E23" s="8" t="inlineStr">
        <is>
          <t>Fonte: linha 32. Nao inclui pintura do vagao inteiro, so rotulagem/retoque.</t>
        </is>
      </c>
    </row>
    <row r="24">
      <c r="B24" s="6" t="inlineStr">
        <is>
          <t>Miscelaneos (materiais)</t>
        </is>
      </c>
      <c r="C24" s="7" t="n">
        <v>10000</v>
      </c>
      <c r="D24" s="7">
        <f>C24/$C$6</f>
        <v/>
      </c>
      <c r="E24" s="8" t="inlineStr">
        <is>
          <t>Fonte: linha 33.</t>
        </is>
      </c>
    </row>
    <row r="25">
      <c r="B25" s="6" t="inlineStr">
        <is>
          <t>Transporte do container (frete)</t>
        </is>
      </c>
      <c r="C25" s="7" t="n">
        <v>20000</v>
      </c>
      <c r="D25" s="7">
        <f>C25/$C$6</f>
        <v/>
      </c>
      <c r="E25" s="8" t="inlineStr">
        <is>
          <t>Fonte: linha 36 ('Trazer Container'). PREMISSA: tratado aqui junto com materiais porque frete intermunicipal/interestadual e fato gerador de ICMS-transporte, nao de ISS. Confirmar com tax se cabe destacar como servico de transporte a parte.</t>
        </is>
      </c>
    </row>
    <row r="26">
      <c r="B26" s="9" t="inlineStr">
        <is>
          <t>SUBTOTAL MATERIAL + LOGISTICA (sujeito a ICMS/IPI)</t>
        </is>
      </c>
      <c r="C26" s="10">
        <f>SUM(C15:C24)+C25</f>
        <v/>
      </c>
      <c r="D26" s="10">
        <f>C26/$C$6</f>
        <v/>
      </c>
      <c r="E26" s="11" t="inlineStr">
        <is>
          <t>Soma das linhas de material e transporte acima.</t>
        </is>
      </c>
    </row>
    <row r="28">
      <c r="B28" s="6" t="inlineStr">
        <is>
          <t>Mao de obra direta (Labor Cost)</t>
        </is>
      </c>
      <c r="C28" s="7" t="n">
        <v>122752</v>
      </c>
      <c r="D28" s="7">
        <f>C28/$C$6</f>
        <v/>
      </c>
      <c r="E28" s="8" t="inlineStr">
        <is>
          <t>Fonte: 'Container in a GDT', linha 35. Calculado como 1.096 horas x R$112/h (linhas 4 e 5 da mesma aba).</t>
        </is>
      </c>
    </row>
    <row r="29">
      <c r="B29" s="6" t="inlineStr">
        <is>
          <t>NRE - engenharia de projeto</t>
        </is>
      </c>
      <c r="C29" s="7" t="n">
        <v>39424</v>
      </c>
      <c r="D29" s="7">
        <f>C29/$C$6</f>
        <v/>
      </c>
      <c r="E29" s="8" t="inlineStr">
        <is>
          <t>Fonte: linha 40 ('1 eng + 1 proj durante 1 mes').</t>
        </is>
      </c>
    </row>
    <row r="30">
      <c r="B30" s="6" t="inlineStr">
        <is>
          <t>Garantia (12 meses)</t>
        </is>
      </c>
      <c r="C30" s="7" t="n">
        <v>39000</v>
      </c>
      <c r="D30" s="7">
        <f>C30/$C$6</f>
        <v/>
      </c>
      <c r="E30" s="8" t="inlineStr">
        <is>
          <t>Fonte: linha 43 (3% sobre o preco). E uma provisao de servico de garantia, nao um bem.</t>
        </is>
      </c>
    </row>
    <row r="31">
      <c r="B31" s="6" t="inlineStr">
        <is>
          <t>Treinamento</t>
        </is>
      </c>
      <c r="C31" s="7" t="n">
        <v>2000</v>
      </c>
      <c r="D31" s="7">
        <f>C31/$C$6</f>
        <v/>
      </c>
      <c r="E31" s="8" t="inlineStr">
        <is>
          <t>Fonte: linha 45.</t>
        </is>
      </c>
    </row>
    <row r="32">
      <c r="B32" s="6" t="inlineStr">
        <is>
          <t>Comissionamento</t>
        </is>
      </c>
      <c r="C32" s="7" t="n">
        <v>44352</v>
      </c>
      <c r="D32" s="7">
        <f>C32/$C$6</f>
        <v/>
      </c>
      <c r="E32" s="8" t="inlineStr">
        <is>
          <t>Fonte: linha 46.</t>
        </is>
      </c>
    </row>
    <row r="33">
      <c r="B33" s="6" t="inlineStr">
        <is>
          <t>SG&amp;A alocado (5%)</t>
        </is>
      </c>
      <c r="C33" s="7" t="n">
        <v>27762.6</v>
      </c>
      <c r="D33" s="7">
        <f>C33/$C$6</f>
        <v/>
      </c>
      <c r="E33" s="8" t="inlineStr">
        <is>
          <t>Fonte: linha 48 (5% de overhead alocado sobre o preco). PREMISSA: tratado como parte do custo do servico porque remunera estrutura administrativa da propria prestacao de servico, nao e um insumo fisico.</t>
        </is>
      </c>
    </row>
    <row r="34">
      <c r="B34" s="9" t="inlineStr">
        <is>
          <t>SUBTOTAL SERVICO (sujeito a ISS)</t>
        </is>
      </c>
      <c r="C34" s="10">
        <f>SUM(C28:C33)</f>
        <v/>
      </c>
      <c r="D34" s="10">
        <f>C34/$C$6</f>
        <v/>
      </c>
      <c r="E34" s="11" t="inlineStr">
        <is>
          <t>Soma de mao de obra + NRE + garantia + treinamento + comissionamento + SG&amp;A alocado.</t>
        </is>
      </c>
    </row>
    <row r="36">
      <c r="B36" s="12" t="inlineStr">
        <is>
          <t>TOTAL (deve bater com a linha 'Supermetal' do Cenario A atual)</t>
        </is>
      </c>
      <c r="C36" s="13">
        <f>C26+C34</f>
        <v/>
      </c>
      <c r="D36" s="13">
        <f>C36/$C$6</f>
        <v/>
      </c>
      <c r="E36" s="14" t="inlineStr">
        <is>
          <t>Confere com Pathfinder_Cost_Summary_PT.xlsx, aba 'Executive Summary (P&amp;L)', celula B16 = R$ 707.790,60.</t>
        </is>
      </c>
    </row>
    <row r="38">
      <c r="B38" s="3" t="inlineStr">
        <is>
          <t>2) OUTROS CUSTOS DO DEAL (nao mudam entre Cenario A e B)</t>
        </is>
      </c>
      <c r="C38" s="4" t="n"/>
      <c r="D38" s="4" t="n"/>
      <c r="E38" s="4" t="n"/>
    </row>
    <row r="39">
      <c r="B39" s="5" t="inlineStr">
        <is>
          <t>Descricao</t>
        </is>
      </c>
      <c r="C39" s="5" t="inlineStr">
        <is>
          <t>R$</t>
        </is>
      </c>
      <c r="D39" s="5" t="inlineStr">
        <is>
          <t>US$</t>
        </is>
      </c>
      <c r="E39" s="5" t="inlineStr">
        <is>
          <t>Premissa / Fonte (para o time de tax)</t>
        </is>
      </c>
    </row>
    <row r="40">
      <c r="B40" s="6" t="inlineStr">
        <is>
          <t>Custo bruto - itens importados</t>
        </is>
      </c>
      <c r="C40" s="7" t="n">
        <v>1346980.92</v>
      </c>
      <c r="D40" s="7">
        <f>C40/$C$6</f>
        <v/>
      </c>
      <c r="E40" s="8" t="inlineStr">
        <is>
          <t>Copiado do Executive Summary (P&amp;L), celula B10. Nao muda no Cenario B.</t>
        </is>
      </c>
    </row>
    <row r="41">
      <c r="B41" s="6" t="inlineStr">
        <is>
          <t>Custo bruto - itens PAC (ja nacionalizados)</t>
        </is>
      </c>
      <c r="C41" s="7" t="n">
        <v>166060.16</v>
      </c>
      <c r="D41" s="7">
        <f>C41/$C$6</f>
        <v/>
      </c>
      <c r="E41" s="8" t="inlineStr">
        <is>
          <t>Copiado da celula B11. PAC ja e custo local todo-incluso; nao entra na discussao de ISS x ICMS deste cenario.</t>
        </is>
      </c>
    </row>
    <row r="42">
      <c r="B42" s="6" t="inlineStr">
        <is>
          <t>TP - Transfer Price (margem propria da WBT USA)</t>
        </is>
      </c>
      <c r="C42" s="7" t="n">
        <v>198163.69</v>
      </c>
      <c r="D42" s="7">
        <f>C42/$C$6</f>
        <v/>
      </c>
      <c r="E42" s="8" t="inlineStr">
        <is>
          <t>Copiado da celula B12. Segue tratado como nesta sessao: soma ao custo, mas fica fora da base de margem da WBT Brazil.</t>
        </is>
      </c>
    </row>
    <row r="43">
      <c r="B43" s="6" t="inlineStr">
        <is>
          <t>Frete internacional</t>
        </is>
      </c>
      <c r="C43" s="7" t="n">
        <v>18998.55</v>
      </c>
      <c r="D43" s="7">
        <f>C43/$C$6</f>
        <v/>
      </c>
      <c r="E43" s="8" t="inlineStr">
        <is>
          <t>Copiado da celula B13.</t>
        </is>
      </c>
    </row>
    <row r="44">
      <c r="B44" s="6" t="inlineStr">
        <is>
          <t>II - Imposto de Importacao</t>
        </is>
      </c>
      <c r="C44" s="7" t="n">
        <v>280915.82</v>
      </c>
      <c r="D44" s="7">
        <f>C44/$C$6</f>
        <v/>
      </c>
      <c r="E44" s="8" t="inlineStr">
        <is>
          <t>Copiado da celula B14.</t>
        </is>
      </c>
    </row>
    <row r="45">
      <c r="B45" s="6" t="inlineStr">
        <is>
          <t>Frete domestico</t>
        </is>
      </c>
      <c r="C45" s="7" t="n">
        <v>21753.1</v>
      </c>
      <c r="D45" s="7">
        <f>C45/$C$6</f>
        <v/>
      </c>
      <c r="E45" s="8" t="inlineStr">
        <is>
          <t>Copiado da celula B15.</t>
        </is>
      </c>
    </row>
    <row r="47">
      <c r="B47" s="3" t="inlineStr">
        <is>
          <t>3) CENARIO A (ATUAL) - TUDO TRIBUTADO COMO MERCADORIA</t>
        </is>
      </c>
      <c r="C47" s="4" t="n"/>
      <c r="D47" s="4" t="n"/>
      <c r="E47" s="4" t="n"/>
    </row>
    <row r="48">
      <c r="B48" s="5" t="inlineStr">
        <is>
          <t>Descricao</t>
        </is>
      </c>
      <c r="C48" s="5" t="inlineStr">
        <is>
          <t>R$</t>
        </is>
      </c>
      <c r="D48" s="5" t="inlineStr">
        <is>
          <t>US$</t>
        </is>
      </c>
      <c r="E48" s="5" t="inlineStr">
        <is>
          <t>Premissa / Fonte (para o time de tax)</t>
        </is>
      </c>
    </row>
    <row r="49">
      <c r="B49" s="15" t="inlineStr">
        <is>
          <t>Custo final (com TP), incluindo Supermetal inteiro</t>
        </is>
      </c>
      <c r="C49" s="16">
        <f>C40+C41+C42+C43+C44+C45+C36</f>
        <v/>
      </c>
      <c r="D49" s="16">
        <f>C49/$C$6</f>
        <v/>
      </c>
      <c r="E49" s="8" t="inlineStr">
        <is>
          <t>Soma de todos os custos acima + o total Supermetal (material+servico juntos).</t>
        </is>
      </c>
    </row>
    <row r="50">
      <c r="B50" s="6" t="inlineStr">
        <is>
          <t>Base para margem (custo final - TP)</t>
        </is>
      </c>
      <c r="C50" s="7">
        <f>C49-C42</f>
        <v/>
      </c>
      <c r="D50" s="7">
        <f>C50/$C$6</f>
        <v/>
      </c>
      <c r="E50" s="8" t="inlineStr">
        <is>
          <t>Custo final acima menos TP.</t>
        </is>
      </c>
    </row>
    <row r="51">
      <c r="B51" s="6" t="inlineStr">
        <is>
          <t>Preco liquido s/ TP (base / (1-TDM))</t>
        </is>
      </c>
      <c r="C51" s="7">
        <f>C50/(1-$C$7)</f>
        <v/>
      </c>
      <c r="D51" s="7">
        <f>C51/$C$6</f>
        <v/>
      </c>
      <c r="E51" s="8" t="inlineStr">
        <is>
          <t>Mesma formula do Cenario A hoje.</t>
        </is>
      </c>
    </row>
    <row r="52">
      <c r="B52" s="6" t="inlineStr">
        <is>
          <t>Preco liquido (+ TP de volta)</t>
        </is>
      </c>
      <c r="C52" s="7">
        <f>C51+C42</f>
        <v/>
      </c>
      <c r="D52" s="7">
        <f>C52/$C$6</f>
        <v/>
      </c>
      <c r="E52" s="8" t="inlineStr">
        <is>
          <t>Mesma formula do Cenario A hoje.</t>
        </is>
      </c>
    </row>
    <row r="53">
      <c r="B53" s="6" t="inlineStr">
        <is>
          <t>+ PIS/COFINS (gross-up)</t>
        </is>
      </c>
      <c r="C53" s="7">
        <f>C52/(1-$C$8)</f>
        <v/>
      </c>
      <c r="D53" s="7">
        <f>C53/$C$6</f>
        <v/>
      </c>
      <c r="E53" s="8" t="inlineStr">
        <is>
          <t>Mesma formula do Cenario A hoje.</t>
        </is>
      </c>
    </row>
    <row r="54">
      <c r="B54" s="6" t="inlineStr">
        <is>
          <t>+ ICMS 18% padrao (gross-up, sobre TUDO)</t>
        </is>
      </c>
      <c r="C54" s="7">
        <f>C53/(1-0.18)</f>
        <v/>
      </c>
      <c r="D54" s="7">
        <f>C54/$C$6</f>
        <v/>
      </c>
      <c r="E54" s="8" t="inlineStr">
        <is>
          <t>Aliquota cheia de 18% aplicada sobre o valor inteiro, inclusive a parte de servico da Supermetal - e exatamente o ponto que o Cenario B corrige.</t>
        </is>
      </c>
    </row>
    <row r="55">
      <c r="B55" s="6" t="inlineStr">
        <is>
          <t>+ IPI 9,69% (sobre TUDO)</t>
        </is>
      </c>
      <c r="C55" s="7">
        <f>C54*0.0969</f>
        <v/>
      </c>
      <c r="D55" s="7">
        <f>C55/$C$6</f>
        <v/>
      </c>
      <c r="E55" s="8" t="inlineStr">
        <is>
          <t>Aliquota blended de IPI aplicada sobre o valor inteiro, inclusive mao de obra - tambem corrigido no Cenario B.</t>
        </is>
      </c>
    </row>
    <row r="56">
      <c r="B56" s="17" t="inlineStr">
        <is>
          <t>PRECO FINAL AO CLIENTE - CENARIO A</t>
        </is>
      </c>
      <c r="C56" s="18">
        <f>C54+C55</f>
        <v/>
      </c>
      <c r="D56" s="18">
        <f>C56/$C$6</f>
        <v/>
      </c>
      <c r="E56" s="19" t="inlineStr">
        <is>
          <t>ICMS acumulado mais IPI.</t>
        </is>
      </c>
    </row>
    <row r="58">
      <c r="B58" s="3" t="inlineStr">
        <is>
          <t>4) CENARIO B - REGIME ESPECIAL (MATERIAL) + ISS (SERVICO)</t>
        </is>
      </c>
      <c r="C58" s="4" t="n"/>
      <c r="D58" s="4" t="n"/>
      <c r="E58" s="4" t="n"/>
    </row>
    <row r="59">
      <c r="B59" s="5" t="inlineStr">
        <is>
          <t>Descricao</t>
        </is>
      </c>
      <c r="C59" s="5" t="inlineStr">
        <is>
          <t>R$</t>
        </is>
      </c>
      <c r="D59" s="5" t="inlineStr">
        <is>
          <t>US$</t>
        </is>
      </c>
      <c r="E59" s="5" t="inlineStr">
        <is>
          <t>Premissa / Fonte (para o time de tax)</t>
        </is>
      </c>
    </row>
    <row r="60">
      <c r="B60" s="15" t="inlineStr">
        <is>
          <t>Custo final (com TP), SEM o Supermetal (tratado a parte abaixo)</t>
        </is>
      </c>
      <c r="C60" s="16">
        <f>C40+C41+C42+C43+C44+C45</f>
        <v/>
      </c>
      <c r="D60" s="16">
        <f>C60/$C$6</f>
        <v/>
      </c>
      <c r="E60" s="8" t="inlineStr">
        <is>
          <t>Mesma soma da secao 2, mas sem a linha Supermetal - ela ganha tratamento tributario proprio abaixo.</t>
        </is>
      </c>
    </row>
    <row r="61">
      <c r="B61" s="6" t="inlineStr">
        <is>
          <t>Base para margem (sem Supermetal, sem TP)</t>
        </is>
      </c>
      <c r="C61" s="7">
        <f>C60-C42</f>
        <v/>
      </c>
      <c r="D61" s="7">
        <f>C61/$C$6</f>
        <v/>
      </c>
      <c r="E61" s="8" t="inlineStr">
        <is>
          <t>Custo acima menos TP.</t>
        </is>
      </c>
    </row>
    <row r="62">
      <c r="B62" s="6" t="inlineStr">
        <is>
          <t>Preco liquido s/ TP</t>
        </is>
      </c>
      <c r="C62" s="7">
        <f>C61/(1-$C$7)</f>
        <v/>
      </c>
      <c r="D62" s="7">
        <f>C62/$C$6</f>
        <v/>
      </c>
      <c r="E62" s="8" t="inlineStr">
        <is>
          <t>Mesma margem-alvo (TDM) do Cenario A.</t>
        </is>
      </c>
    </row>
    <row r="63">
      <c r="B63" s="6" t="inlineStr">
        <is>
          <t>Preco liquido (+ TP de volta)</t>
        </is>
      </c>
      <c r="C63" s="7">
        <f>C62+C42</f>
        <v/>
      </c>
      <c r="D63" s="7">
        <f>C63/$C$6</f>
        <v/>
      </c>
      <c r="E63" s="8" t="inlineStr">
        <is>
          <t>Idem Cenario A.</t>
        </is>
      </c>
    </row>
    <row r="64">
      <c r="B64" s="6" t="inlineStr">
        <is>
          <t>+ PIS/COFINS (gross-up, parte importada/PAC)</t>
        </is>
      </c>
      <c r="C64" s="7">
        <f>C63/(1-$C$8)</f>
        <v/>
      </c>
      <c r="D64" s="7">
        <f>C64/$C$6</f>
        <v/>
      </c>
      <c r="E64" s="8" t="inlineStr">
        <is>
          <t>Mesma aliquota, mesma logica do Cenario A.</t>
        </is>
      </c>
    </row>
    <row r="65">
      <c r="B65" s="6" t="inlineStr">
        <is>
          <t>+ ICMS 18% (parte importada/PAC, sem Supermetal)</t>
        </is>
      </c>
      <c r="C65" s="7">
        <f>C64/(1-0.18)</f>
        <v/>
      </c>
      <c r="D65" s="7">
        <f>C65/$C$6</f>
        <v/>
      </c>
      <c r="E65" s="8" t="inlineStr">
        <is>
          <t>Mesma aliquota padrao do Cenario A, aplicada so ao resto do BOM.</t>
        </is>
      </c>
    </row>
    <row r="66">
      <c r="B66" s="6" t="inlineStr">
        <is>
          <t>+ IPI 9,69% (parte importada/PAC, sem Supermetal)</t>
        </is>
      </c>
      <c r="C66" s="7">
        <f>C65*0.0969</f>
        <v/>
      </c>
      <c r="D66" s="7">
        <f>C66/$C$6</f>
        <v/>
      </c>
      <c r="E66" s="8" t="inlineStr">
        <is>
          <t>Idem.</t>
        </is>
      </c>
    </row>
    <row r="67">
      <c r="B67" s="15" t="inlineStr">
        <is>
          <t>Preco final ao cliente - parte NAO-Supermetal</t>
        </is>
      </c>
      <c r="C67" s="16">
        <f>C65+C66</f>
        <v/>
      </c>
      <c r="D67" s="16">
        <f>C67/$C$6</f>
        <v/>
      </c>
      <c r="E67" s="8" t="inlineStr">
        <is>
          <t>ICMS mais IPI acima.</t>
        </is>
      </c>
    </row>
    <row r="69">
      <c r="B69" s="20" t="inlineStr">
        <is>
          <t>4a) Parcela MATERIAL da Supermetal - Regime Especial (ICMS 1,5% / IPI 0%)</t>
        </is>
      </c>
    </row>
    <row r="70">
      <c r="B70" s="6" t="inlineStr">
        <is>
          <t>Material+logistica com margem (TDM aplicada)</t>
        </is>
      </c>
      <c r="C70" s="7">
        <f>C26/(1-$C$7)</f>
        <v/>
      </c>
      <c r="D70" s="7">
        <f>C70/$C$6</f>
        <v/>
      </c>
      <c r="E70" s="8" t="inlineStr">
        <is>
          <t>Mesma margem-alvo (TDM) aplicada so sobre o subtotal de material.</t>
        </is>
      </c>
    </row>
    <row r="71">
      <c r="B71" s="6" t="inlineStr">
        <is>
          <t>+ PIS/COFINS (mesma aliquota do Cenario A)</t>
        </is>
      </c>
      <c r="C71" s="7">
        <f>C70/(1-$C$8)</f>
        <v/>
      </c>
      <c r="D71" s="7">
        <f>C71/$C$6</f>
        <v/>
      </c>
      <c r="E71" s="8" t="inlineStr">
        <is>
          <t>Premissa explicada na celula B do input PIS/COFINS acima.</t>
        </is>
      </c>
    </row>
    <row r="72">
      <c r="B72" s="21" t="inlineStr">
        <is>
          <t>+ ICMS Regime Especial Supermetal (1,5%, nao 18%)</t>
        </is>
      </c>
      <c r="C72" s="22">
        <f>C71/(1-$C$9)</f>
        <v/>
      </c>
      <c r="D72" s="22">
        <f>C72/$C$6</f>
        <v/>
      </c>
      <c r="E72" s="14" t="inlineStr">
        <is>
          <t>Fonte da aliquota: input do topo (celula C do 'ICMS - Regime Especial Supermetal').</t>
        </is>
      </c>
    </row>
    <row r="73">
      <c r="B73" s="21" t="inlineStr">
        <is>
          <t>+ IPI Regime Especial Supermetal (0%, nao 9,69%)</t>
        </is>
      </c>
      <c r="C73" s="22">
        <f>C72*C10</f>
        <v/>
      </c>
      <c r="D73" s="22">
        <f>C73/$C$6</f>
        <v/>
      </c>
      <c r="E73" s="14" t="inlineStr">
        <is>
          <t>Fonte: input do topo. Zera o IPI para este bloco.</t>
        </is>
      </c>
    </row>
    <row r="74">
      <c r="B74" s="15" t="inlineStr">
        <is>
          <t>Preco final - parcela MATERIAL Supermetal</t>
        </is>
      </c>
      <c r="C74" s="16">
        <f>C72+C73</f>
        <v/>
      </c>
      <c r="D74" s="16">
        <f>C74/$C$6</f>
        <v/>
      </c>
      <c r="E74" s="8" t="inlineStr">
        <is>
          <t>ICMS regime especial mais IPI regime especial.</t>
        </is>
      </c>
    </row>
    <row r="76">
      <c r="B76" s="20" t="inlineStr">
        <is>
          <t>4b) Parcela SERVICO da Supermetal - ISS (sem ICMS, sem IPI)</t>
        </is>
      </c>
    </row>
    <row r="77">
      <c r="B77" s="6" t="inlineStr">
        <is>
          <t>Servico com margem (TDM aplicada)</t>
        </is>
      </c>
      <c r="C77" s="7">
        <f>C34/(1-$C$7)</f>
        <v/>
      </c>
      <c r="D77" s="7">
        <f>C77/$C$6</f>
        <v/>
      </c>
      <c r="E77" s="8" t="inlineStr">
        <is>
          <t>Mesma margem-alvo (TDM) aplicada so sobre o subtotal de servico.</t>
        </is>
      </c>
    </row>
    <row r="78">
      <c r="B78" s="6" t="inlineStr">
        <is>
          <t>+ PIS/COFINS (premissa a confirmar, ver input acima)</t>
        </is>
      </c>
      <c r="C78" s="7">
        <f>C77/(1-$C$8)</f>
        <v/>
      </c>
      <c r="D78" s="7">
        <f>C78/$C$6</f>
        <v/>
      </c>
      <c r="E78" s="8" t="inlineStr">
        <is>
          <t>Mesma ressalva do input PIS/COFINS do topo.</t>
        </is>
      </c>
    </row>
    <row r="79">
      <c r="B79" s="23" t="inlineStr">
        <is>
          <t>+ ISS (nao ICMS, nao IPI) - aliquota do municipio da Supermetal</t>
        </is>
      </c>
      <c r="C79" s="24">
        <f>C78*C11</f>
        <v/>
      </c>
      <c r="D79" s="24">
        <f>C79/$C$6</f>
        <v/>
      </c>
      <c r="E79" s="19" t="inlineStr">
        <is>
          <t>Fonte: input 'ISS sobre a parcela de servico' no topo - PLACEHOLDER 5%, substituir pela aliquota real.</t>
        </is>
      </c>
    </row>
    <row r="80">
      <c r="B80" s="15" t="inlineStr">
        <is>
          <t>Preco final - parcela SERVICO Supermetal</t>
        </is>
      </c>
      <c r="C80" s="16">
        <f>C78+C79</f>
        <v/>
      </c>
      <c r="D80" s="16">
        <f>C80/$C$6</f>
        <v/>
      </c>
      <c r="E80" s="8" t="inlineStr">
        <is>
          <t>PIS/COFINS acumulado mais ISS.</t>
        </is>
      </c>
    </row>
    <row r="82">
      <c r="B82" s="12" t="inlineStr">
        <is>
          <t>PRECO FINAL AO CLIENTE - CENARIO B (soma das 3 partes)</t>
        </is>
      </c>
      <c r="C82" s="13">
        <f>C67+C74+C80</f>
        <v/>
      </c>
      <c r="D82" s="13">
        <f>C82/$C$6</f>
        <v/>
      </c>
      <c r="E82" s="14" t="inlineStr">
        <is>
          <t>Parte nao-Supermetal mais parte material Supermetal (regime especial) mais parte servico Supermetal (ISS).</t>
        </is>
      </c>
    </row>
    <row r="84">
      <c r="B84" s="3" t="inlineStr">
        <is>
          <t>5) COMPARACAO E ECONOMIA ESTIMADA</t>
        </is>
      </c>
      <c r="C84" s="4" t="n"/>
      <c r="D84" s="4" t="n"/>
      <c r="E84" s="4" t="n"/>
    </row>
    <row r="85">
      <c r="B85" s="5" t="inlineStr">
        <is>
          <t>Descricao</t>
        </is>
      </c>
      <c r="C85" s="5" t="inlineStr">
        <is>
          <t>R$</t>
        </is>
      </c>
      <c r="D85" s="5" t="inlineStr">
        <is>
          <t>US$</t>
        </is>
      </c>
      <c r="E85" s="5" t="inlineStr">
        <is>
          <t>Premissa / Fonte (para o time de tax)</t>
        </is>
      </c>
    </row>
    <row r="86">
      <c r="B86" s="12" t="inlineStr">
        <is>
          <t>Diferenca (Cenario A - Cenario B)</t>
        </is>
      </c>
      <c r="C86" s="13">
        <f>C56-C82</f>
        <v/>
      </c>
      <c r="D86" s="13">
        <f>C86/$C$6</f>
        <v/>
      </c>
      <c r="E86" s="14" t="inlineStr">
        <is>
          <t>Quanto o Cenario B reduziria o preco final ao cliente, so nesta linha de Supermetal. Nao inclui outras frentes (ex.: II sobre o resto do BOM), que continuam iguais nos dois cenarios.</t>
        </is>
      </c>
    </row>
    <row r="87">
      <c r="B87" s="6" t="inlineStr">
        <is>
          <t>Diferenca em % do preco final atual</t>
        </is>
      </c>
      <c r="C87" s="25">
        <f>C86/C56</f>
        <v/>
      </c>
      <c r="D87" s="7" t="n"/>
      <c r="E87" s="8" t="inlineStr">
        <is>
          <t>Diferenca dividida pelo preco final do Cenario A.</t>
        </is>
      </c>
    </row>
    <row r="89" ht="40" customHeight="1">
      <c r="B89" s="26" t="inlineStr">
        <is>
          <t>IMPORTANTE: os valores de ICMS Regime Especial (1,5%), IPI (0%) e ISS (5% placeholder) precisam de confirmacao formal do time de tax/juridico antes de qualquer uso comercial ou contratual. Este arquivo existe para orientar essa conversa, nao para ser usado como preco final.</t>
        </is>
      </c>
    </row>
    <row r="90"/>
  </sheetData>
  <mergeCells count="12">
    <mergeCell ref="B84:E84"/>
    <mergeCell ref="B1:E1"/>
    <mergeCell ref="B4:E4"/>
    <mergeCell ref="B58:E58"/>
    <mergeCell ref="B13:E13"/>
    <mergeCell ref="B69:E69"/>
    <mergeCell ref="B38:E38"/>
    <mergeCell ref="B47:E47"/>
    <mergeCell ref="B2:E2"/>
    <mergeCell ref="B89:E89"/>
    <mergeCell ref="B89:E90"/>
    <mergeCell ref="B76:E7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30" customHeight="1">
      <c r="B1" s="27" t="inlineStr">
        <is>
          <t>HIPOTESE ESTRATEGICA: VAGAO PATHFINDER COMO ATIVO COMPARTILHADO COM A OBRIGACAO CPTM</t>
        </is>
      </c>
    </row>
    <row r="3">
      <c r="B3" s="28" t="inlineStr">
        <is>
          <t>Contexto da obrigacao</t>
        </is>
      </c>
    </row>
    <row r="4" ht="90" customHeight="1">
      <c r="B4" s="29" t="inlineStr">
        <is>
          <t>A concessao da MRS, renovada em julho/2022 por 30 anos (ate 2056), tem no seu Plano de Investimentos um pilar chamado 'Investimentos estruturantes de interesse publico', que inclui explicitamente a segregacao de linhas com a CPTM (Companhia Paulista de Trens Metropolitanos) em Sao Paulo. Fonte: pagina oficial 'Renovacao da Concessao' do site da MRS.</t>
        </is>
      </c>
    </row>
    <row r="6">
      <c r="B6" s="28" t="inlineStr">
        <is>
          <t>Hipotese levantada por Matheus</t>
        </is>
      </c>
    </row>
    <row r="7" ht="108" customHeight="1">
      <c r="B7" s="29" t="inlineStr">
        <is>
          <t>O vagao Pathfinder poderia embarcar, no mesmo bordo (onboard), tanto o sistema de sinalizacao/deteccao do Pathfinder quanto equipamento de sinalizacao util para o projeto de segregacao de linha com a CPTM. Se tecnicamente viavel, o mesmo ativo fisico serviria a dois propositos: (1) o produto comercial Pathfinder GDT vendido a MRS, e (2) parte do cumprimento da obrigacao contratual de investimento estruturante junto a CPTM prevista na concessao.</t>
        </is>
      </c>
    </row>
    <row r="9">
      <c r="B9" s="28" t="inlineStr">
        <is>
          <t>Por que isso pode importar para o tema fiscal</t>
        </is>
      </c>
    </row>
    <row r="10" ht="108" customHeight="1">
      <c r="B10" s="29" t="inlineStr">
        <is>
          <t>Se uma parcela do vagao puder ser formalmente reconhecida como cumprimento de obrigacao de investimento da concessao (nao uma compra comercial comum), isso muda a natureza juridica e possivelmente contabil/fiscal dessa parcela - por exemplo, podendo abrir espaco para tratamento de investimento em infraestrutura (potencialmente elegivel a regimes como o REPORTO, sujeito a confirmacao) em vez de uma venda mercantil integral tributada normalmente.</t>
        </is>
      </c>
    </row>
    <row r="12">
      <c r="B12" s="28" t="inlineStr">
        <is>
          <t>O que NAO estamos afirmando</t>
        </is>
      </c>
    </row>
    <row r="13" ht="126" customHeight="1">
      <c r="B13" s="29" t="inlineStr">
        <is>
          <t>Nao estamos assumindo que esse enquadramento e valido, nem estimando um valor de beneficio. Esta e uma hipotese de negocio/juridica que depende de: (a) confirmacao tecnica de que o mesmo bordo de sinalizacao atende aos dois propositos sem conflito de especificacao; (b) validacao junto a area de relacoes institucionais/juridico da MRS se isso pode contar para a obrigacao de investimento da concessao; (c) validacao do time de tax se ha algum efeito tributario associado a esse enquadramento.</t>
        </is>
      </c>
    </row>
    <row r="15">
      <c r="B15" s="28" t="inlineStr">
        <is>
          <t>Proximo passo sugerido</t>
        </is>
      </c>
    </row>
    <row r="16" ht="72" customHeight="1">
      <c r="B16" s="29" t="inlineStr">
        <is>
          <t>Levar esta hipotese, junto com o Cenario B (aba anterior), para uma reuniao conjunta com o time de tax e com a area responsavel pelas obrigacoes de concessao/CPTM da MRS, antes de assumir qualquer numero de economia fiscal ligado a esse argumento.</t>
        </is>
      </c>
    </row>
  </sheetData>
  <mergeCells count="6">
    <mergeCell ref="B1"/>
    <mergeCell ref="B4"/>
    <mergeCell ref="B13"/>
    <mergeCell ref="B7"/>
    <mergeCell ref="B16"/>
    <mergeCell ref="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2026-09-29T16:46:58Z</dcterms:created>
  <dcterms:modified xmlns:dcterms="http://purl.org/dc/terms/" xmlns:xsi="http://www.w3.org/2001/XMLSchema-instance" xsi:type="dcterms:W3CDTF">2026-09-29T16:46:58Z</dcterms:modified>
</cp:coreProperties>
</file>