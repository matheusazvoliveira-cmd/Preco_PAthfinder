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wabtec.sharepoint.com/sites/CARVN-ARVDemo/Shared Documents/General/03 - Engineering/04 - Systems/01 - Pathfinder Skids/"/>
    </mc:Choice>
  </mc:AlternateContent>
  <xr:revisionPtr revIDLastSave="0" documentId="8_{5C42BD9D-275F-4453-9435-E8118B3ABF8C}" xr6:coauthVersionLast="47" xr6:coauthVersionMax="47" xr10:uidLastSave="{00000000-0000-0000-0000-000000000000}"/>
  <bookViews>
    <workbookView xWindow="-120" yWindow="-120" windowWidth="29040" windowHeight="17520" firstSheet="1" xr2:uid="{00000000-000D-0000-FFFF-FFFF00000000}"/>
  </bookViews>
  <sheets>
    <sheet name="Executive Summary (GDT Project)" sheetId="1" r:id="rId1"/>
    <sheet name="Final Cost List" sheetId="2" r:id="rId2"/>
    <sheet name="GDT Integration and Assembly" sheetId="3" r:id="rId3"/>
    <sheet name="Missing Items" sheetId="4" r:id="rId4"/>
  </sheets>
  <definedNames>
    <definedName name="_xlnm._FilterDatabase" localSheetId="1" hidden="1">'Final Cost List'!$A$1:$P$165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14" i="1" s="1"/>
  <c r="D8" i="1"/>
  <c r="D14" i="1" s="1"/>
  <c r="C8" i="1"/>
  <c r="C14" i="1" s="1"/>
  <c r="B8" i="1"/>
  <c r="B14" i="1" s="1"/>
  <c r="E7" i="1"/>
  <c r="E9" i="1" s="1"/>
  <c r="D7" i="1"/>
  <c r="D13" i="1" s="1"/>
  <c r="D15" i="1" s="1"/>
  <c r="C13" i="1"/>
  <c r="C15" i="1" s="1"/>
  <c r="B7" i="1"/>
  <c r="E13" i="1" l="1"/>
  <c r="E15" i="1" s="1"/>
  <c r="D9" i="1"/>
  <c r="B9" i="1"/>
  <c r="F8" i="1" s="1"/>
  <c r="B13" i="1"/>
  <c r="C9" i="1"/>
  <c r="B15" i="1" l="1"/>
  <c r="F14" i="1" s="1"/>
  <c r="F7" i="1"/>
  <c r="F13" i="1" l="1"/>
</calcChain>
</file>

<file path=xl/sharedStrings.xml><?xml version="1.0" encoding="utf-8"?>
<sst xmlns="http://schemas.openxmlformats.org/spreadsheetml/2006/main" count="1401" uniqueCount="533">
  <si>
    <t>EXECUTIVE SUMMARY - MRS PATHFINDER GDT RAILCAR PROPOSAL</t>
  </si>
  <si>
    <t>Exchange Rate:</t>
  </si>
  <si>
    <t>USD 1.00 = BRL 5.16</t>
  </si>
  <si>
    <t>Profit Margin (%):</t>
  </si>
  <si>
    <t>&lt;- editable input. Change this to update the sale price table below.</t>
  </si>
  <si>
    <t>1) COST / PURE BREAKEVEN (initial Pathfinder price, no margin)</t>
  </si>
  <si>
    <t>Project Module</t>
  </si>
  <si>
    <t>Cost BRL (Excl. Taxes)</t>
  </si>
  <si>
    <t>Cost USD (Excl. Taxes)</t>
  </si>
  <si>
    <t>Cost BRL (Incl. Taxes)</t>
  </si>
  <si>
    <t>Cost USD (Incl. Taxes)</t>
  </si>
  <si>
    <t>% of Total</t>
  </si>
  <si>
    <t>1. Equipment &amp; Components (BOM Pathfinder + SKID)</t>
  </si>
  <si>
    <t>2. Adaptation, Container &amp; Labor (Rollup GDT)</t>
  </si>
  <si>
    <t>TOTAL CONSOLIDATED GDT RAILCAR PROJECT (COST)</t>
  </si>
  <si>
    <t>2) SALE PRICE WITH PROFIT MARGIN (driven by cell B3)</t>
  </si>
  <si>
    <t>Sale Price BRL (Excl. Taxes)</t>
  </si>
  <si>
    <t>Sale Price USD (Excl. Taxes)</t>
  </si>
  <si>
    <t>Sale Price BRL (Incl. Taxes)</t>
  </si>
  <si>
    <t>Sale Price USD (Incl. Taxes)</t>
  </si>
  <si>
    <t>TOTAL CONSOLIDATED GDT RAILCAR PROJECT (SALE PRICE)</t>
  </si>
  <si>
    <t>Part Number</t>
  </si>
  <si>
    <t>Description</t>
  </si>
  <si>
    <t>System</t>
  </si>
  <si>
    <t>SubSystem</t>
  </si>
  <si>
    <t>Weight (lbs)</t>
  </si>
  <si>
    <t>Quantity</t>
  </si>
  <si>
    <t>BOM Price (USD Unit)</t>
  </si>
  <si>
    <t>Final Unit Price USD (Excluding Taxes)</t>
  </si>
  <si>
    <t>Final Total Price USD (Excluding Taxes)</t>
  </si>
  <si>
    <t>Final Unit Price USD (Including Taxes)</t>
  </si>
  <si>
    <t>Final Total Price USD (Including Taxes)</t>
  </si>
  <si>
    <t>Total Price BRL (Excluding Taxes)</t>
  </si>
  <si>
    <t>Total Price BRL (Including Taxes)</t>
  </si>
  <si>
    <t>PAC Price (BRL Unit)</t>
  </si>
  <si>
    <t>Cost Source</t>
  </si>
  <si>
    <t>Status / Notes</t>
  </si>
  <si>
    <t>Simple Item Category</t>
  </si>
  <si>
    <t>Nationalization Status</t>
  </si>
  <si>
    <t>Import Scenario (BOM+TP+Freight+Duty, BRL Incl. Tax)</t>
  </si>
  <si>
    <t>Nationalized/PAC Price (BRL Incl. Tax)</t>
  </si>
  <si>
    <t>Cheaper Option</t>
  </si>
  <si>
    <t>41A296352CMP437</t>
  </si>
  <si>
    <t>Dual Processor Module (DPM)+ LXA (Distributed Power Radio)</t>
  </si>
  <si>
    <t>Controls (MCA, train control, er etc)</t>
  </si>
  <si>
    <t>LXA</t>
  </si>
  <si>
    <t>Imported BOM (USA)</t>
  </si>
  <si>
    <t>TP included; international freight updated to 9%</t>
  </si>
  <si>
    <t>37495P</t>
  </si>
  <si>
    <t>KIT ETMS VIRGIN TRAINS FEC EVO44</t>
  </si>
  <si>
    <t>PTC</t>
  </si>
  <si>
    <t>PTC KIT MASTER</t>
  </si>
  <si>
    <t>Direct supplier purchase; TP excluded; international freight 9%</t>
  </si>
  <si>
    <t>84A222059P5</t>
  </si>
  <si>
    <t>BATTERIES</t>
  </si>
  <si>
    <t>Power</t>
  </si>
  <si>
    <t>POWER</t>
  </si>
  <si>
    <t>41A296352LUG24</t>
  </si>
  <si>
    <t>CSX Antenna Enclosure Arrangement</t>
  </si>
  <si>
    <t>Connectivity</t>
  </si>
  <si>
    <t>ANTENNA KIT Master</t>
  </si>
  <si>
    <t>84A215295P62</t>
  </si>
  <si>
    <t>Pneumatic Brake Control System (Including lament and control portions) Includes EM EAB Control Functionality</t>
  </si>
  <si>
    <t>Air</t>
  </si>
  <si>
    <t>Fastbrake</t>
  </si>
  <si>
    <t>41A296352DNP37</t>
  </si>
  <si>
    <t>RADIO PRAD PTC RADIO</t>
  </si>
  <si>
    <t>17FM878A6</t>
  </si>
  <si>
    <t>NIO 2.0</t>
  </si>
  <si>
    <t>MCA</t>
  </si>
  <si>
    <t>L7000083-900</t>
  </si>
  <si>
    <t>Wireless Communications Management Module, Gen 3 (WCM3)​</t>
  </si>
  <si>
    <t>TRAIN CONTROL</t>
  </si>
  <si>
    <t>Made by GET; retained for GET impact analysis</t>
  </si>
  <si>
    <t>Wire/Cable</t>
  </si>
  <si>
    <t>Low confidence - no comparable PAC item found</t>
  </si>
  <si>
    <t>PAC/National is cheaper (by R$ 91,011.66)</t>
  </si>
  <si>
    <t>84A237085AEP121</t>
  </si>
  <si>
    <t>8 Slot ACC Chassis for MCA w/ i7 HPEAP and SMM2 Cards</t>
  </si>
  <si>
    <t>17FL472A2</t>
  </si>
  <si>
    <t>TMC PANEL</t>
  </si>
  <si>
    <t>SKID Assembly</t>
  </si>
  <si>
    <t>SKID (Skid)</t>
  </si>
  <si>
    <t>PAC (Brazil BRL)</t>
  </si>
  <si>
    <t>17KC108E28</t>
  </si>
  <si>
    <t>MASTER CONTROLLER</t>
  </si>
  <si>
    <t>GET</t>
  </si>
  <si>
    <t>84A215295P73</t>
  </si>
  <si>
    <t>Air Brake Handle Assembly (AAR Console)</t>
  </si>
  <si>
    <t>17FM868B2</t>
  </si>
  <si>
    <t>SNIO</t>
  </si>
  <si>
    <t>41A296352DNP55</t>
  </si>
  <si>
    <t>VOICE RADIO RITRON</t>
  </si>
  <si>
    <t>VOICE RADIO</t>
  </si>
  <si>
    <t>32613P</t>
  </si>
  <si>
    <t>KIT ETMS AXLE INTERFACE FOR WPart Number 29266P</t>
  </si>
  <si>
    <t>17FH40X1</t>
  </si>
  <si>
    <t>LPS 17FH40 (COMMON LOGIC POWER SUPPLY) (5v, 15v, 19v, 24v)</t>
  </si>
  <si>
    <t>POWER SUPPLY</t>
  </si>
  <si>
    <t>Brazilian factory PAC price (local Brazilian cost)</t>
  </si>
  <si>
    <t>41D758679BJG16 	84D704379AFG1</t>
  </si>
  <si>
    <t>EC Part NumberL ASM</t>
  </si>
  <si>
    <t>Circuit Breaker</t>
  </si>
  <si>
    <t>41B546155P2</t>
  </si>
  <si>
    <t>Horn</t>
  </si>
  <si>
    <t>Ditchlight Control Box (SMART BOX-V3-DLC )</t>
  </si>
  <si>
    <t>LED Ditch Light</t>
  </si>
  <si>
    <t>17FM839B1</t>
  </si>
  <si>
    <t>PANEL ASM CFD - Thin Client Display</t>
  </si>
  <si>
    <t>17FM839A3</t>
  </si>
  <si>
    <t>TCD (Thin Client Display)</t>
  </si>
  <si>
    <t>84A201003DAP1</t>
  </si>
  <si>
    <t>ELECTRIC Bell</t>
  </si>
  <si>
    <t>17FB193E2F</t>
  </si>
  <si>
    <t>GET Card</t>
  </si>
  <si>
    <t>84A215295P3</t>
  </si>
  <si>
    <t>POU-to-Handle cable 18' length</t>
  </si>
  <si>
    <t>Low confidence - PAC family match, different length</t>
  </si>
  <si>
    <t>PAC/National is cheaper (by R$ 1,816.45)</t>
  </si>
  <si>
    <t>41B566322ACG1</t>
  </si>
  <si>
    <t>TRAINLINE RESISTOR PANEL</t>
  </si>
  <si>
    <t>41A296304DDP4</t>
  </si>
  <si>
    <t>G-RECTIFIER POWER BLOCK</t>
  </si>
  <si>
    <t>RCCR-RMTCBL-RA-CUSTOM</t>
  </si>
  <si>
    <t>VOICE RADIO RITRON CABLE,REMOTE,RR-225/XXX, RCCR,RIGHT
ANGLE,19-PIN,FLAME RETARDANT</t>
  </si>
  <si>
    <t>PAC/National is cheaper (by R$ 2,834.60)</t>
  </si>
  <si>
    <t>41C663693G1</t>
  </si>
  <si>
    <t>PANEL CPF</t>
  </si>
  <si>
    <t>41A296352PTP306/41A296352PTP122</t>
  </si>
  <si>
    <t>Assembled Air Manifold (Contains 3 pressure sensors mounted in appropriate locations on Air Manifold.)</t>
  </si>
  <si>
    <t>84A232147P1</t>
  </si>
  <si>
    <t>KNOB HLD DWN with washer and screw</t>
  </si>
  <si>
    <t>32447P</t>
  </si>
  <si>
    <t>ASY CABLE WHEEL TACH AC EVO/SD70 ACE</t>
  </si>
  <si>
    <t>Calculated with TP (17.2%) + International Freight (15%) + Import Duty (16%) + Domestic Freight (3%) | Qtd=1.0</t>
  </si>
  <si>
    <t>High confidence PAC match (exact desc, PN 29707P) - not yet applied</t>
  </si>
  <si>
    <t>PAC/National is cheaper (by R$ 3,681.80)</t>
  </si>
  <si>
    <t>41A296352PTP10/319/34</t>
  </si>
  <si>
    <t>VALVE Part NumberEUMATIC NC/CO (Penalty Magnet Valve) Graham-White 812-142</t>
  </si>
  <si>
    <t>84A201176P1</t>
  </si>
  <si>
    <t>Pathfinder Control Unit Connector (MU Plug)</t>
  </si>
  <si>
    <t>Connector/Plug</t>
  </si>
  <si>
    <t>Already nationalized (PAC)</t>
  </si>
  <si>
    <t>PAC/National is cheaper (by R$ 697.78)</t>
  </si>
  <si>
    <t>84A201150ACP2</t>
  </si>
  <si>
    <t>CROSSING BELL PUSH BUTTON
SWITCH</t>
  </si>
  <si>
    <t>17FH37A6</t>
  </si>
  <si>
    <t>RPS Power Panel - Radio Power Supply - 15V</t>
  </si>
  <si>
    <t>41A240644P2</t>
  </si>
  <si>
    <t>HORN MAGNET VALVE</t>
  </si>
  <si>
    <t>41A296352CMP387</t>
  </si>
  <si>
    <t>ETHERNET CABLE</t>
  </si>
  <si>
    <t>Import is cheaper (by R$ 9.58)</t>
  </si>
  <si>
    <t>41B511393P2</t>
  </si>
  <si>
    <t>Battery Knife Switch</t>
  </si>
  <si>
    <t>84A231123CSP30</t>
  </si>
  <si>
    <t>Axle Tac - WRE Part Number: 29266P</t>
  </si>
  <si>
    <t>84A207079ABP1</t>
  </si>
  <si>
    <t>41A313392DCP18 alternative 300" /</t>
  </si>
  <si>
    <t>Wiring</t>
  </si>
  <si>
    <t>84A201850P4</t>
  </si>
  <si>
    <t>ENGINE CONTROL SWITCH</t>
  </si>
  <si>
    <t>RCCR-PWRCBL</t>
  </si>
  <si>
    <t>CABLE, PWR, 72V,RA,6.5FT (78").,RR-070,RCCR</t>
  </si>
  <si>
    <t>Low confidence - PAC match, different length</t>
  </si>
  <si>
    <t>PAC/National is cheaper (by R$ 847.80)</t>
  </si>
  <si>
    <t>41A216641P158</t>
  </si>
  <si>
    <t>SNIO CONNECTOR 3</t>
  </si>
  <si>
    <t>Import is cheaper (by R$ 97.31)</t>
  </si>
  <si>
    <t>41B546301P4</t>
  </si>
  <si>
    <t>DOOR INTERLOCK SWITCH</t>
  </si>
  <si>
    <t>84A201169AKP1</t>
  </si>
  <si>
    <t>ENGINEERS HORN BUTTON</t>
  </si>
  <si>
    <t>41B549523ABP101</t>
  </si>
  <si>
    <t>BATTERY SAVER RESET PUSH BUTTON</t>
  </si>
  <si>
    <t>41B564808G1</t>
  </si>
  <si>
    <t>A-DIODE ASM</t>
  </si>
  <si>
    <t>497A365P13</t>
  </si>
  <si>
    <t>ALARM AND SIGNAL BELL</t>
  </si>
  <si>
    <t>84A201850P5</t>
  </si>
  <si>
    <t>AC-ROTARY SWITCH</t>
  </si>
  <si>
    <t>41A216641P235</t>
  </si>
  <si>
    <t>GOLINC / ACC POWER CONNECTOR</t>
  </si>
  <si>
    <t>Import is cheaper (by R$ 112.19)</t>
  </si>
  <si>
    <t>84A206730P1</t>
  </si>
  <si>
    <t>565" / CABLE 5 PAIR</t>
  </si>
  <si>
    <t>Import is cheaper (by R$ 149.76)</t>
  </si>
  <si>
    <t>41B549523ADP108</t>
  </si>
  <si>
    <t>VIGILANCE RESET SWITCH</t>
  </si>
  <si>
    <t>41A317303ACP49</t>
  </si>
  <si>
    <t>AIR RESERVOIR
PRESSURE
SENSOR</t>
  </si>
  <si>
    <t>41A216641AMP126</t>
  </si>
  <si>
    <t>NIO1D CONNECTOR BACKSHELL</t>
  </si>
  <si>
    <t>Medium confidence PAC match (same PN family - AMP115 backshell)</t>
  </si>
  <si>
    <t>Import is cheaper (by R$ 101.15)</t>
  </si>
  <si>
    <t>84A215329P1</t>
  </si>
  <si>
    <t>ENGINE STOP SWITCH</t>
  </si>
  <si>
    <t>41A296328ASP3</t>
  </si>
  <si>
    <t>BATTERY TEMPERATURE SENSOR</t>
  </si>
  <si>
    <t>41A216641ABP45</t>
  </si>
  <si>
    <t>DUAL PROCESSOR MODULE 
CONNECTOR</t>
  </si>
  <si>
    <t>Import is cheaper (by R$ 54.87)</t>
  </si>
  <si>
    <t>84A232147P2</t>
  </si>
  <si>
    <t>PIN            REAR HOLD-DOWN</t>
  </si>
  <si>
    <t>PAC/National is cheaper (by R$ 475.96)</t>
  </si>
  <si>
    <t>41A321053G1</t>
  </si>
  <si>
    <t>Power Resistor</t>
  </si>
  <si>
    <t>Resistor</t>
  </si>
  <si>
    <t>17 pin MS3106-20-29F</t>
  </si>
  <si>
    <t>Head of Train Device - Padom - J2 Connector</t>
  </si>
  <si>
    <t>Import is cheaper (by R$ 5.99)</t>
  </si>
  <si>
    <t>41A216641P157</t>
  </si>
  <si>
    <t>SNIO CONNECTOR 2</t>
  </si>
  <si>
    <t>Import is cheaper (by R$ 81.49)</t>
  </si>
  <si>
    <t>41A216641AMP125</t>
  </si>
  <si>
    <t>NIO1A CONNECTOR BACKSHELL</t>
  </si>
  <si>
    <t>Import is cheaper (by R$ 279.38)</t>
  </si>
  <si>
    <t>5088-7000-P4611-0000000-ND‎</t>
  </si>
  <si>
    <t>POE Power Connector on SMM2 (M12 FEMALE 0 L-CODED FIELD-WIREA)</t>
  </si>
  <si>
    <t>Low confidence - no current price, weak PAC reference only</t>
  </si>
  <si>
    <t>PAC/National is cheaper (by R$ 587.06)</t>
  </si>
  <si>
    <t>41A296352PTP67</t>
  </si>
  <si>
    <t>CABLE CSX 12V P WR CBL</t>
  </si>
  <si>
    <t>Low confidence - PAC candidate is more expensive</t>
  </si>
  <si>
    <t>Import is cheaper (by R$ 385.74)</t>
  </si>
  <si>
    <t>41A296352PTP69</t>
  </si>
  <si>
    <t>CABLE CSX 74V P WR CBL</t>
  </si>
  <si>
    <t>41A216641AMP93</t>
  </si>
  <si>
    <t>NIO1E CONNECTOR</t>
  </si>
  <si>
    <t>Medium confidence PAC match (same PN family - AMP84 plug)</t>
  </si>
  <si>
    <t>PAC/National is cheaper (by R$ 319.76)</t>
  </si>
  <si>
    <t>41B549523ADP1</t>
  </si>
  <si>
    <t>Black push Button</t>
  </si>
  <si>
    <t>Use in place of al levers and other push buttons</t>
  </si>
  <si>
    <t>41B549523ADP2</t>
  </si>
  <si>
    <t>SWITCH PUSH BUTTON</t>
  </si>
  <si>
    <t>41A296328APP5</t>
  </si>
  <si>
    <t>BATTERY CURRENT SENSOR</t>
  </si>
  <si>
    <t>41A216641AMP103</t>
  </si>
  <si>
    <t>NIO1D CONNECTOR</t>
  </si>
  <si>
    <t>Low confidence - family match, wrong sub-type</t>
  </si>
  <si>
    <t>Import is cheaper (by R$ 372.40)</t>
  </si>
  <si>
    <t>16246P</t>
  </si>
  <si>
    <t>Flexi-Axle - WRE Part Number: 16246P</t>
  </si>
  <si>
    <t>41A216641AMP99</t>
  </si>
  <si>
    <t>NIO1B CONNECTOR</t>
  </si>
  <si>
    <t>Calculated with TP (17.2%) + International Freight (15%) + Import Duty (16%) + Domestic Freight (3%) | Qtd=3.0</t>
  </si>
  <si>
    <t>PAC/National is cheaper (by R$ 186.16)</t>
  </si>
  <si>
    <t>41A216641AMP123</t>
  </si>
  <si>
    <t>NIO1F CONNECTOR BACKSHELL</t>
  </si>
  <si>
    <t>Import is cheaper (by R$ 424.29)</t>
  </si>
  <si>
    <t>41A216641P140</t>
  </si>
  <si>
    <t>Part NumberEUMATIC OPERATING UNIT
CONNECTOR - 5</t>
  </si>
  <si>
    <t>PAC/National is cheaper (by R$ 325.83)</t>
  </si>
  <si>
    <t>41A216641AMP100</t>
  </si>
  <si>
    <t>NIO1C CONNECTOR</t>
  </si>
  <si>
    <t>Import is cheaper (by R$ 436.29)</t>
  </si>
  <si>
    <t>41A216641P53</t>
  </si>
  <si>
    <t>SNIO CONNECTOR 1</t>
  </si>
  <si>
    <t>PAC/National is cheaper (by R$ 21.71)</t>
  </si>
  <si>
    <t>41A216641AMP86</t>
  </si>
  <si>
    <t>NIO1F CONNECTOR</t>
  </si>
  <si>
    <t>PAC/National is cheaper (by R$ 163.24)</t>
  </si>
  <si>
    <t>41A216641P141</t>
  </si>
  <si>
    <t>Part NumberEUMATIC OPERATING UNIT
CONNECTOR - 7</t>
  </si>
  <si>
    <t>PAC/National is cheaper (by R$ 27.30)</t>
  </si>
  <si>
    <t>41A212414P35</t>
  </si>
  <si>
    <t>CIRCUIT BREAKER 1P</t>
  </si>
  <si>
    <t>Breaker</t>
  </si>
  <si>
    <t>PAC/National is cheaper (by R$ 35.43)</t>
  </si>
  <si>
    <t>41A212414P73</t>
  </si>
  <si>
    <t>BATT CHARGER &amp; COMP CIRCUIT BREAKER (2P, 20A / 50A)</t>
  </si>
  <si>
    <t>Import is cheaper (by R$ 3.11)</t>
  </si>
  <si>
    <t>41A212414P76</t>
  </si>
  <si>
    <t>FUEL PUMP CIRCUIT BREAKER (4P,
25A / 45A)</t>
  </si>
  <si>
    <t>PAC/National is cheaper (by R$ 108.21)</t>
  </si>
  <si>
    <t>41A296326DDP52</t>
  </si>
  <si>
    <t>EMU CONNECTOR</t>
  </si>
  <si>
    <t>PAC/National is cheaper (by R$ 66.56)</t>
  </si>
  <si>
    <t>84B523158P1</t>
  </si>
  <si>
    <t>RESERVOIR DRAIN VALVE HEATER # 1</t>
  </si>
  <si>
    <t>41A216641P142</t>
  </si>
  <si>
    <t>Part NumberEUMATIC OPERATING UNIT
CONNECTOR - 8</t>
  </si>
  <si>
    <t>PAC/National is cheaper (by R$ 50.26)</t>
  </si>
  <si>
    <t>41A216641AMP98</t>
  </si>
  <si>
    <t>NIO1A CONNECTOR</t>
  </si>
  <si>
    <t>PAC/National is cheaper (by R$ 54.59)</t>
  </si>
  <si>
    <t>41A216641ABP153</t>
  </si>
  <si>
    <t>HELPER'S RADIO SPEAKER 
CONNECTOR</t>
  </si>
  <si>
    <t>Low confidence - generic family match only</t>
  </si>
  <si>
    <t>PAC/National is cheaper (by R$ 142.81)</t>
  </si>
  <si>
    <t>17LV66BD52</t>
  </si>
  <si>
    <t>CONSIST MANAGER SYSTEM RELAY</t>
  </si>
  <si>
    <t>17LV66J10</t>
  </si>
  <si>
    <t>RELAYS</t>
  </si>
  <si>
    <t>41A296326DDP78</t>
  </si>
  <si>
    <t>GEW LAYER 3 ETH ERNET SWITCH POWER PLUG</t>
  </si>
  <si>
    <t>PAC/National is cheaper (by R$ 201.66)</t>
  </si>
  <si>
    <t>41A265714P22</t>
  </si>
  <si>
    <t>SOCKET CONTACT, .75"</t>
  </si>
  <si>
    <t>Import is cheaper (by R$ 21.17)</t>
  </si>
  <si>
    <t>41A216641ABP139</t>
  </si>
  <si>
    <t>DISTRIBUTED POWER RADIO MODULE
BASE CONNECTOR</t>
  </si>
  <si>
    <t>PAC/National is cheaper (by R$ 6.86)</t>
  </si>
  <si>
    <t>84B104674ASP14</t>
  </si>
  <si>
    <t>AMBIENT AIR TEMPERATURE SENSOR
PLUG</t>
  </si>
  <si>
    <t>PAC/National is cheaper (by R$ 8.79)</t>
  </si>
  <si>
    <t>41A316591P1</t>
  </si>
  <si>
    <t>Card Holder 3 Slot</t>
  </si>
  <si>
    <t>41A212414P31, 41A212414P3 2-Pole Option</t>
  </si>
  <si>
    <t>AUTOCOUPLER CIRCUIT BREAKER,  CCB(2A)</t>
  </si>
  <si>
    <t>High confidence PAC match (exact PN) - not yet applied</t>
  </si>
  <si>
    <t>PAC/National is cheaper (by R$ 134.82)</t>
  </si>
  <si>
    <t>41A265713P22</t>
  </si>
  <si>
    <t>PIN</t>
  </si>
  <si>
    <t>41A212414P3</t>
  </si>
  <si>
    <t>DYNAMIC BRAKE CIRCUIT BREAKER
(1P, 2A)</t>
  </si>
  <si>
    <t>Import is cheaper (by R$ 3.60)</t>
  </si>
  <si>
    <t>41A212414P14</t>
  </si>
  <si>
    <t>PTC RADIO CIRCUIT BREAKER (2P,
15A)</t>
  </si>
  <si>
    <t>Import is cheaper (by R$ 3.55)</t>
  </si>
  <si>
    <t>41A212414P15</t>
  </si>
  <si>
    <t>SMART DISPLAY #1 CIRCUIT BREAKER (2P, 6A)</t>
  </si>
  <si>
    <t>PAC/National is cheaper (by R$ 1.25)</t>
  </si>
  <si>
    <t>41A212414P5</t>
  </si>
  <si>
    <t>CABINET FANS BREAKER (2P, 5A) CBCB</t>
  </si>
  <si>
    <t>PAC/National is cheaper (by R$ 34.97)</t>
  </si>
  <si>
    <t>41A212414P4</t>
  </si>
  <si>
    <t>DC/DC #1 TL13 Side (1P, 10A)</t>
  </si>
  <si>
    <t>41A212414P2</t>
  </si>
  <si>
    <t>LIGHTING CIRCUIT BREAKER (2P, 30A)</t>
  </si>
  <si>
    <t>PAC/National is cheaper (by R$ 30.91)</t>
  </si>
  <si>
    <t>41A212414P8</t>
  </si>
  <si>
    <t>MULTI-TASK CIRCUIT BREAKER (2P, 25A)</t>
  </si>
  <si>
    <t>Calculated with TP (17.2%) + International Freight (15%) + Import Duty (16%) + Domestic Freight (3%) | Qtd=25.0</t>
  </si>
  <si>
    <t>PAC/National is cheaper (by R$ 6.73)</t>
  </si>
  <si>
    <t>41A296326AUP1</t>
  </si>
  <si>
    <t>LOGIC POWER SUPPLY CONN (62 PIN)</t>
  </si>
  <si>
    <t>41A268255P4</t>
  </si>
  <si>
    <t>DIAGNOSTIC ACCESS SWITCH</t>
  </si>
  <si>
    <t>41A250095G10</t>
  </si>
  <si>
    <t>TERMINAL BOARD (20 POINT)</t>
  </si>
  <si>
    <t>PAC/National is cheaper (by R$ 32.31)</t>
  </si>
  <si>
    <t>41A251900G1</t>
  </si>
  <si>
    <t>RADIO LOCKER TERMINAL BOARD (12 POINT)</t>
  </si>
  <si>
    <t>PAC/National is cheaper (by R$ 14.25)</t>
  </si>
  <si>
    <t>5373-219</t>
  </si>
  <si>
    <t>CONNECTOR, ELECTRICAL</t>
  </si>
  <si>
    <t>Low confidence - PAC price range too wide (R$118-2,748)</t>
  </si>
  <si>
    <t>Import is cheaper (by R$ 432.59)</t>
  </si>
  <si>
    <t>41A305772P1</t>
  </si>
  <si>
    <t>WORK LIGHT - SWITCH - #1 END (LIGHTING BREAKER)</t>
  </si>
  <si>
    <t>Import is cheaper (by R$ 13.12)</t>
  </si>
  <si>
    <t>497A911P1</t>
  </si>
  <si>
    <t>STEP LIGHT SWITCH</t>
  </si>
  <si>
    <t>499A906AAP12</t>
  </si>
  <si>
    <t>NUT, HEX, NYLOCK, 8-32, GR5, Z</t>
  </si>
  <si>
    <t>84B519079G1</t>
  </si>
  <si>
    <t>MAIN RESERVOIR PRESSURE SENSOR
CONNECTOR</t>
  </si>
  <si>
    <t>PAC/National is cheaper (by R$ 25.19)</t>
  </si>
  <si>
    <t>41A212414P39</t>
  </si>
  <si>
    <t>CONTROL SWITCH CIRCUIT BREAKER (1P, 30A)</t>
  </si>
  <si>
    <t>PAC/National is cheaper (by R$ 3.34)</t>
  </si>
  <si>
    <t>41A296328AAP5</t>
  </si>
  <si>
    <t>SENSOR, THERMISTOR TEMPERATURE PROBE</t>
  </si>
  <si>
    <t>41A216641AMP109</t>
  </si>
  <si>
    <t>Contact</t>
  </si>
  <si>
    <t>PAC/National is cheaper (by R$ 7.49)</t>
  </si>
  <si>
    <t>41A265616P52</t>
  </si>
  <si>
    <t>Ring Terminal</t>
  </si>
  <si>
    <t>PAC/National is cheaper (by R$ 2.06)</t>
  </si>
  <si>
    <t>41A271471P61</t>
  </si>
  <si>
    <t>TRAINLINE RESISTOR PANEL CONN</t>
  </si>
  <si>
    <t>41A271474P17</t>
  </si>
  <si>
    <t>AUX SHEET CONNECTOR</t>
  </si>
  <si>
    <t>PAC/National is cheaper (by R$ 1.22)</t>
  </si>
  <si>
    <t>84B514977G1</t>
  </si>
  <si>
    <t>CONNECTION ASM</t>
  </si>
  <si>
    <t>41A271474P13</t>
  </si>
  <si>
    <t>AUX SHEET CONNECTOR - PIN</t>
  </si>
  <si>
    <t>PAC/National is cheaper (by R$ 3.80)</t>
  </si>
  <si>
    <t>41A271471P24</t>
  </si>
  <si>
    <t>AMP, Cable Clamp Kit, Thermoplastic, Black, 17 Shell Size,</t>
  </si>
  <si>
    <t>41A296326BUP3</t>
  </si>
  <si>
    <t>Contact for 14-18 AWG wire (41A296326AUP1),
insulation OD .110-.150, with
secondary locking type
connector plug</t>
  </si>
  <si>
    <t>PAC/National is cheaper (by R$ 6.11)</t>
  </si>
  <si>
    <t>N80P15016B13</t>
  </si>
  <si>
    <t>SCREW, PHP, 8-32 X 1, GR5, Z</t>
  </si>
  <si>
    <t>41A271471P24/38</t>
  </si>
  <si>
    <t>HPEAP DISCRETE CONNECTOR Backshell</t>
  </si>
  <si>
    <t>Low confidence - negligible value, family match only</t>
  </si>
  <si>
    <t>PAC/National is cheaper (by R$ 1.50)</t>
  </si>
  <si>
    <t>41A271471P35</t>
  </si>
  <si>
    <t>CONNECTOR (24 SOCKET)</t>
  </si>
  <si>
    <t>PAC/National is cheaper (by R$ 0.24)</t>
  </si>
  <si>
    <t>41A271471P16</t>
  </si>
  <si>
    <t>SPEED SENSORS (1-3)/(4-6) CONNECTOR
(37 SOCKET)</t>
  </si>
  <si>
    <t>PAC/National is cheaper (by R$ 0.21)</t>
  </si>
  <si>
    <t>41A271471P22</t>
  </si>
  <si>
    <t>GROUND MEASURING MODULE
CONNECTOR</t>
  </si>
  <si>
    <t>PAC/National is cheaper (by R$ 0.51)</t>
  </si>
  <si>
    <t>41A271471P40</t>
  </si>
  <si>
    <t>TRAINLINE RESISTOR PANEL CONN BACKSHELL</t>
  </si>
  <si>
    <t>41A281695P1</t>
  </si>
  <si>
    <t>RESISTOR</t>
  </si>
  <si>
    <t>N402P8B13</t>
  </si>
  <si>
    <t>WASHER, FLAT, #8, GR5, Z</t>
  </si>
  <si>
    <t>41A265714P12</t>
  </si>
  <si>
    <t>Contact, .4in</t>
  </si>
  <si>
    <t>Import is cheaper (by R$ 0.33)</t>
  </si>
  <si>
    <t>482A444ASP48</t>
  </si>
  <si>
    <t>PTC PULL UP RESISTOR</t>
  </si>
  <si>
    <t>41A296326AKP5</t>
  </si>
  <si>
    <t>Power Plug for the TCD</t>
  </si>
  <si>
    <t>Item included in the master kit or with no additional cost</t>
  </si>
  <si>
    <t>PAC/National is cheaper (by R$ 0.77)</t>
  </si>
  <si>
    <t>41A296326AMP52</t>
  </si>
  <si>
    <t>Crimp Type Contact Pin</t>
  </si>
  <si>
    <t>Recovered from Pathfinder BOM (Smart Light Source Co.); had no Part Number so was missed by PN-based matching. TP included (not yet color-reviewed, treated as default Yellow); freight 9%.</t>
  </si>
  <si>
    <t>Import is cheaper (by R$ 0.15)</t>
  </si>
  <si>
    <t>499A906AAP2</t>
  </si>
  <si>
    <t>NUT, HEX, NYLOCK, 1/4-20, GR5, Z</t>
  </si>
  <si>
    <t>Recovered from Pathfinder BOM (Smart Light Source Co., PN HYD-LOC120); had no Part Number so was missed by PN-based matching. TP included (not yet color-reviewed, treated as default Yellow); freight 9%.</t>
  </si>
  <si>
    <t>41A296352DNP73</t>
  </si>
  <si>
    <t>CABLE: GROUND S TRAP</t>
  </si>
  <si>
    <t>Quotation pending (no USD or BRL price)</t>
  </si>
  <si>
    <t>Low confidence - current BOM price is a $0.01 placeholder</t>
  </si>
  <si>
    <t>Not comparable - current price is a $0.01 BOM placeholder</t>
  </si>
  <si>
    <t>41A296352DNP96</t>
  </si>
  <si>
    <t>Cable: CRM Ethernet Switch to ACC</t>
  </si>
  <si>
    <t>41A296352DNP57</t>
  </si>
  <si>
    <t>REMOTE HEAD - VOICE RADIO RITRON</t>
  </si>
  <si>
    <t>INCLUDED / NO COST</t>
  </si>
  <si>
    <t>41A296326CYP77</t>
  </si>
  <si>
    <t>M12-A_ MALE_ 8-PIN_ STRAIGHT BSH</t>
  </si>
  <si>
    <t>MISSING</t>
  </si>
  <si>
    <t>41A296352PTP272</t>
  </si>
  <si>
    <t>BC-PRECISION NAVIGATION MODULE</t>
  </si>
  <si>
    <t>41A296352PTP58</t>
  </si>
  <si>
    <t>AY-DISPLAY CSX PTC DISPLAY</t>
  </si>
  <si>
    <t>41A296352PTP292</t>
  </si>
  <si>
    <t>AX-POWER SUPPLY 13.6 V</t>
  </si>
  <si>
    <t>MODEM ATT</t>
  </si>
  <si>
    <t>Exact PN match found in PAC (org GCM) as 'TMC Panel Assembly'. Replacement PN for original 17FL519A1.</t>
  </si>
  <si>
    <t>84A237085AJP1</t>
  </si>
  <si>
    <t>C-GoLIN EP_3 SMA_M2 CELL MODEM</t>
  </si>
  <si>
    <t>17FL400B</t>
  </si>
  <si>
    <t>ST-DEVELOPER v19.4</t>
  </si>
  <si>
    <t>41A296352CMP448</t>
  </si>
  <si>
    <t>FB-DIGITAL RADIO MODULE</t>
  </si>
  <si>
    <t>41A296352PTP326</t>
  </si>
  <si>
    <t>BH-WABTEC TRAIN MANAGEMENT COMPUTER _WTMC_</t>
  </si>
  <si>
    <t>17FM711C3</t>
  </si>
  <si>
    <t>H-PANEL DBM</t>
  </si>
  <si>
    <t>No PAC record for this exact PN; priced using the PAC reference for the analogous TCD PN 17FM839B1 (org GCM, identical description match) as a second physical display unit for the SKID. Confirm with engineering.</t>
  </si>
  <si>
    <t>41A296352BCP9</t>
  </si>
  <si>
    <t>N-HEAD OF TRAIN DEVICE</t>
  </si>
  <si>
    <t>RL-1033772</t>
  </si>
  <si>
    <t>ASSEMBLY, RELAY BOARD</t>
  </si>
  <si>
    <t>41B549523ADP15</t>
  </si>
  <si>
    <t>BAP900F</t>
  </si>
  <si>
    <t>CONVERTER/CHARGER DC/DC 74/72-F4WTSA</t>
  </si>
  <si>
    <t>41A296352PTP360</t>
  </si>
  <si>
    <t>_BB-CUT-OUT SWITCH CABINET</t>
  </si>
  <si>
    <t>N265P21B</t>
  </si>
  <si>
    <t>NUT, HEX, LOCK, 1/4-20, GR5, Z</t>
  </si>
  <si>
    <t>N647AP21012B</t>
  </si>
  <si>
    <t>BOLT, BHCS, 1/4"-20 X 3/4", 18-8</t>
  </si>
  <si>
    <t>1009634-901</t>
  </si>
  <si>
    <t>SFM 701x Smart Fan Module</t>
  </si>
  <si>
    <t>bottom on ACC</t>
  </si>
  <si>
    <t>401581-100</t>
  </si>
  <si>
    <t>SFPIM 703x 15v Smart Fan Module</t>
  </si>
  <si>
    <t>41A296352VHP1_E-GEW</t>
  </si>
  <si>
    <t>PTC-FILT-NB-160-MIL-U</t>
  </si>
  <si>
    <t>160 MHz PTC Filter</t>
  </si>
  <si>
    <t>later</t>
  </si>
  <si>
    <t>PTC-FILT-NB-220-MIL-MF</t>
  </si>
  <si>
    <t>220 Mhz PTC FILTER</t>
  </si>
  <si>
    <t>PTC Junction Box</t>
  </si>
  <si>
    <t>41A296352LUP15</t>
  </si>
  <si>
    <t>455 MHz Antenna (DPA, DPB, EOT )</t>
  </si>
  <si>
    <t>84D749224G1</t>
  </si>
  <si>
    <t>Power resistor</t>
  </si>
  <si>
    <t>Battery Skid?</t>
  </si>
  <si>
    <t>Exact PN match found in PAC (org GCM) as 'CARD'. Made by GET; retained for GET impact analysis using PAC reference price.</t>
  </si>
  <si>
    <t>GDT Category</t>
  </si>
  <si>
    <t>Item / Service or Material Description</t>
  </si>
  <si>
    <t>Direct Cost BRL</t>
  </si>
  <si>
    <t>Direct Cost USD (@ 5.16)</t>
  </si>
  <si>
    <t>Gross Price BRL (Including PIS/COFINS and ICMS)</t>
  </si>
  <si>
    <t>Gross Price USD (Including PIS/COFINS and ICMS)</t>
  </si>
  <si>
    <t>Notes / Calculation Details</t>
  </si>
  <si>
    <t>Integration / Container Materials</t>
  </si>
  <si>
    <t>Container + enviromental Report</t>
  </si>
  <si>
    <t>Não incluso transporte do container</t>
  </si>
  <si>
    <t>Pneumatics (tubulações, 14un mangueiras, 30un torneiras, conexões)</t>
  </si>
  <si>
    <t>Conexões pneumáticas gerais</t>
  </si>
  <si>
    <t>Rack Electrical Connection</t>
  </si>
  <si>
    <t>Chicotes e passagem de cabos</t>
  </si>
  <si>
    <t>Internal Electrical System (cabeamento, iluminação interna, 4un strobe, 6un steplights)</t>
  </si>
  <si>
    <t>Horn and headlight not needed</t>
  </si>
  <si>
    <t>MU Connectors (4un), MU Jumpers (2un)</t>
  </si>
  <si>
    <t>Considerando eletrodutos e alongamento de cabeamento do container ao vagão</t>
  </si>
  <si>
    <t>Air Conditioning, Inverter and Power</t>
  </si>
  <si>
    <t>Ar condicionado, inversor e potência para troca de calor</t>
  </si>
  <si>
    <t>Container Thermal Insulation</t>
  </si>
  <si>
    <t>Isolamento térmico interno</t>
  </si>
  <si>
    <t>Steel (railcar repair, ladder and access door)</t>
  </si>
  <si>
    <t>25 reais por quilo</t>
  </si>
  <si>
    <t>Painting and Lettering (Lettering)</t>
  </si>
  <si>
    <t>Não considerando pintar o vagão inteiro</t>
  </si>
  <si>
    <t>Miscellaneous</t>
  </si>
  <si>
    <t>Insumos e materiais diversos</t>
  </si>
  <si>
    <t>Labor and Field Services</t>
  </si>
  <si>
    <t>Assembly and Integration Labor (Labor Cost)</t>
  </si>
  <si>
    <t>1.096 horas (mecânica, elétrica, solda, pintura e campo) @ R$ 112/h</t>
  </si>
  <si>
    <t>Engineering / Project Design (NRE)</t>
  </si>
  <si>
    <t>1 engenheiro + 1 projetista durante 1 mês</t>
  </si>
  <si>
    <t>Field Commissioning</t>
  </si>
  <si>
    <t>396 horas de campo</t>
  </si>
  <si>
    <t>Container Freight / Transportation</t>
  </si>
  <si>
    <t>Trazer Container para o local de montagem</t>
  </si>
  <si>
    <t>Training</t>
  </si>
  <si>
    <t>Apenas funcionalidade do container</t>
  </si>
  <si>
    <t>12-Month Warranty (3%)</t>
  </si>
  <si>
    <t>3% rate applied to cost</t>
  </si>
  <si>
    <t>SG&amp;A (5%)</t>
  </si>
  <si>
    <t>5% rate applied to administrative expenses</t>
  </si>
  <si>
    <t>TOTAL GDT ROLLUP</t>
  </si>
  <si>
    <t>Total Integration, Adaptation and Services</t>
  </si>
  <si>
    <t>Sum of all additional materials and services from the rollup</t>
  </si>
  <si>
    <t>Subsystem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</si>
</sst>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\$\ #,##0.00"/>
    <numFmt numFmtId="166" formatCode="0.0%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3"/>
      <name val="Calibri"/>
    </font>
    <font>
      <b/>
      <sz val="11"/>
      <color rgb="FF000000"/>
      <name val="Calibri"/>
    </font>
    <font>
      <i/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4" fillId="0" borderId="1" xfId="0" applyFont="1" applyBorder="1"/>
    <xf numFmtId="0" fontId="3" fillId="0" borderId="1" xfId="0" applyFont="1" applyBorder="1"/>
    <xf numFmtId="166" fontId="5" fillId="3" borderId="2" xfId="0" applyNumberFormat="1" applyFont="1" applyFill="1" applyBorder="1"/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0" fillId="4" borderId="0" xfId="0" applyFill="1" applyAlignment="1">
      <alignment wrapText="1"/>
    </xf>
    <xf numFmtId="1" fontId="0" fillId="4" borderId="0" xfId="0" applyNumberFormat="1" applyFill="1" applyAlignment="1">
      <alignment wrapText="1"/>
    </xf>
    <xf numFmtId="165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6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5" topLeftCell="A6" activePane="bottomLeft" state="frozen"/>
      <selection pane="bottomLeft" activeCell="B3" sqref="B3"/>
    </sheetView>
  </sheetViews>
  <sheetFormatPr defaultRowHeight="15"/>
  <cols>
    <col min="1" max="1" width="46" customWidth="1"/>
    <col min="2" max="5" width="20" customWidth="1"/>
    <col min="6" max="6" width="12" customWidth="1"/>
  </cols>
  <sheetData>
    <row r="1" spans="1:8" ht="18.75" customHeight="1">
      <c r="A1" s="13" t="s">
        <v>0</v>
      </c>
      <c r="B1" s="14"/>
      <c r="C1" s="14"/>
      <c r="D1" s="14"/>
      <c r="E1" s="14"/>
      <c r="F1" s="14"/>
      <c r="G1" s="14"/>
      <c r="H1" s="14"/>
    </row>
    <row r="2" spans="1:8">
      <c r="A2" s="26" t="s">
        <v>1</v>
      </c>
      <c r="B2" s="14" t="s">
        <v>2</v>
      </c>
      <c r="C2" s="14"/>
      <c r="D2" s="14"/>
      <c r="E2" s="14"/>
      <c r="F2" s="14"/>
      <c r="G2" s="14"/>
      <c r="H2" s="14"/>
    </row>
    <row r="3" spans="1:8">
      <c r="A3" s="26" t="s">
        <v>3</v>
      </c>
      <c r="B3" s="15">
        <v>0.45</v>
      </c>
      <c r="C3" s="16" t="s">
        <v>4</v>
      </c>
      <c r="D3" s="14"/>
      <c r="E3" s="14"/>
      <c r="F3" s="14"/>
      <c r="G3" s="14"/>
      <c r="H3" s="14"/>
    </row>
    <row r="4" spans="1:8">
      <c r="A4" s="14"/>
      <c r="B4" s="14"/>
      <c r="C4" s="14"/>
      <c r="D4" s="14"/>
      <c r="E4" s="14"/>
      <c r="F4" s="14"/>
      <c r="G4" s="14"/>
      <c r="H4" s="14"/>
    </row>
    <row r="5" spans="1:8">
      <c r="A5" s="27" t="s">
        <v>5</v>
      </c>
      <c r="B5" s="17"/>
      <c r="C5" s="17"/>
      <c r="D5" s="17"/>
      <c r="E5" s="17"/>
      <c r="F5" s="17"/>
      <c r="G5" s="14"/>
      <c r="H5" s="14"/>
    </row>
    <row r="6" spans="1:8" ht="30">
      <c r="A6" s="28" t="s">
        <v>6</v>
      </c>
      <c r="B6" s="28" t="s">
        <v>7</v>
      </c>
      <c r="C6" s="28" t="s">
        <v>8</v>
      </c>
      <c r="D6" s="28" t="s">
        <v>9</v>
      </c>
      <c r="E6" s="28" t="s">
        <v>10</v>
      </c>
      <c r="F6" s="28" t="s">
        <v>11</v>
      </c>
      <c r="G6" s="14"/>
      <c r="H6" s="14"/>
    </row>
    <row r="7" spans="1:8">
      <c r="A7" s="14" t="s">
        <v>12</v>
      </c>
      <c r="B7" s="18">
        <f>SUM('Final Cost List'!L2:L163)</f>
        <v>2137279.5249273367</v>
      </c>
      <c r="C7" s="19">
        <v>350000</v>
      </c>
      <c r="D7" s="18">
        <f>SUM('Final Cost List'!M2:M163)</f>
        <v>2676282.9012363316</v>
      </c>
      <c r="E7" s="19">
        <f>SUM('Final Cost List'!K2:K163)</f>
        <v>518659.47698378545</v>
      </c>
      <c r="F7" s="20">
        <f>B7/$B$9</f>
        <v>0.75122208981823357</v>
      </c>
      <c r="G7" s="14"/>
      <c r="H7" s="14"/>
    </row>
    <row r="8" spans="1:8">
      <c r="A8" s="14" t="s">
        <v>13</v>
      </c>
      <c r="B8" s="18">
        <f>SUM('GDT Integration and Assembly'!C2:C18)</f>
        <v>707790.6</v>
      </c>
      <c r="C8" s="19">
        <f>SUM('GDT Integration and Assembly'!D2:D18)</f>
        <v>137168.72093023255</v>
      </c>
      <c r="D8" s="18">
        <f>SUM('GDT Integration and Assembly'!E2:E18)</f>
        <v>886289.25619834708</v>
      </c>
      <c r="E8" s="19">
        <f>SUM('GDT Integration and Assembly'!F2:F18)</f>
        <v>171761.48375936958</v>
      </c>
      <c r="F8" s="20">
        <f>B8/$B$9</f>
        <v>0.24877791018176643</v>
      </c>
      <c r="G8" s="14"/>
      <c r="H8" s="14"/>
    </row>
    <row r="9" spans="1:8">
      <c r="A9" s="26" t="s">
        <v>14</v>
      </c>
      <c r="B9" s="29">
        <f>SUM(B7:B8)</f>
        <v>2845070.1249273368</v>
      </c>
      <c r="C9" s="30">
        <f>SUM(C7:C8)</f>
        <v>487168.72093023255</v>
      </c>
      <c r="D9" s="29">
        <f>SUM(D7:D8)</f>
        <v>3562572.1574346786</v>
      </c>
      <c r="E9" s="30">
        <f>SUM(E7:E8)</f>
        <v>690420.9607431551</v>
      </c>
      <c r="F9" s="31">
        <v>1</v>
      </c>
      <c r="G9" s="14"/>
      <c r="H9" s="14"/>
    </row>
    <row r="10" spans="1:8">
      <c r="A10" s="14"/>
      <c r="B10" s="14"/>
      <c r="C10" s="14"/>
      <c r="D10" s="14"/>
      <c r="E10" s="14"/>
      <c r="F10" s="14"/>
      <c r="G10" s="14"/>
      <c r="H10" s="14"/>
    </row>
    <row r="11" spans="1:8">
      <c r="A11" s="26" t="s">
        <v>15</v>
      </c>
      <c r="B11" s="14"/>
      <c r="C11" s="14"/>
      <c r="D11" s="14"/>
      <c r="E11" s="14"/>
      <c r="F11" s="14"/>
      <c r="G11" s="14"/>
      <c r="H11" s="14"/>
    </row>
    <row r="12" spans="1:8" ht="30">
      <c r="A12" s="28" t="s">
        <v>6</v>
      </c>
      <c r="B12" s="28" t="s">
        <v>16</v>
      </c>
      <c r="C12" s="28" t="s">
        <v>17</v>
      </c>
      <c r="D12" s="28" t="s">
        <v>18</v>
      </c>
      <c r="E12" s="28" t="s">
        <v>19</v>
      </c>
      <c r="F12" s="28" t="s">
        <v>11</v>
      </c>
      <c r="G12" s="14"/>
      <c r="H12" s="14"/>
    </row>
    <row r="13" spans="1:8">
      <c r="A13" s="14" t="s">
        <v>12</v>
      </c>
      <c r="B13" s="18">
        <f t="shared" ref="B13:E14" si="0">B7*(1+$B$3)</f>
        <v>3099055.3111446383</v>
      </c>
      <c r="C13" s="19">
        <f t="shared" si="0"/>
        <v>507500</v>
      </c>
      <c r="D13" s="18">
        <f t="shared" si="0"/>
        <v>3880610.2067926805</v>
      </c>
      <c r="E13" s="19">
        <f t="shared" si="0"/>
        <v>752056.24162648886</v>
      </c>
      <c r="F13" s="20">
        <f>B13/$B$15</f>
        <v>0.75122208981823368</v>
      </c>
      <c r="G13" s="14"/>
      <c r="H13" s="14"/>
    </row>
    <row r="14" spans="1:8">
      <c r="A14" s="14" t="s">
        <v>13</v>
      </c>
      <c r="B14" s="18">
        <f t="shared" si="0"/>
        <v>1026296.3699999999</v>
      </c>
      <c r="C14" s="19">
        <f t="shared" si="0"/>
        <v>198894.64534883719</v>
      </c>
      <c r="D14" s="18">
        <f t="shared" si="0"/>
        <v>1285119.4214876033</v>
      </c>
      <c r="E14" s="19">
        <f t="shared" si="0"/>
        <v>249054.1514510859</v>
      </c>
      <c r="F14" s="20">
        <f>B14/$B$15</f>
        <v>0.24877791018176643</v>
      </c>
      <c r="G14" s="14"/>
      <c r="H14" s="14"/>
    </row>
    <row r="15" spans="1:8">
      <c r="A15" s="26" t="s">
        <v>20</v>
      </c>
      <c r="B15" s="29">
        <f>SUM(B13:B14)</f>
        <v>4125351.681144638</v>
      </c>
      <c r="C15" s="30">
        <f>SUM(C13:C14)</f>
        <v>706394.64534883713</v>
      </c>
      <c r="D15" s="29">
        <f>SUM(D13:D14)</f>
        <v>5165729.6282802839</v>
      </c>
      <c r="E15" s="30">
        <f>SUM(E13:E14)</f>
        <v>1001110.3930775748</v>
      </c>
      <c r="F15" s="31">
        <v>1</v>
      </c>
      <c r="G15" s="14"/>
      <c r="H15" s="14"/>
    </row>
    <row r="16" spans="1:8">
      <c r="A16" s="14"/>
      <c r="B16" s="14"/>
      <c r="C16" s="14"/>
      <c r="D16" s="14"/>
      <c r="E16" s="14"/>
      <c r="F16" s="14"/>
      <c r="G16" s="14"/>
      <c r="H16" s="14"/>
    </row>
    <row r="17" spans="1:8">
      <c r="A17" s="14"/>
      <c r="B17" s="14"/>
      <c r="C17" s="14"/>
      <c r="D17" s="14"/>
      <c r="E17" s="14"/>
      <c r="F17" s="14"/>
      <c r="G17" s="14"/>
      <c r="H17" s="14"/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  <row r="20" spans="1:8">
      <c r="A20" s="14"/>
      <c r="B20" s="14"/>
      <c r="C20" s="14"/>
      <c r="D20" s="14"/>
      <c r="E20" s="14"/>
      <c r="F20" s="14"/>
      <c r="G20" s="14"/>
      <c r="H20" s="14"/>
    </row>
  </sheetData>
  <pageMargins left="0.75" right="0.75" top="1" bottom="1" header="0.5" footer="0.5"/>
  <headerFooter>
    <oddHeader>&amp;R&amp;"Aptos"&amp;1 &amp;K000000 1 - General Business#_x000D_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3"/>
  <sheetViews>
    <sheetView workbookViewId="0">
      <pane ySplit="1" topLeftCell="A5" activePane="bottomLeft" state="frozen"/>
      <selection pane="bottomLeft" activeCell="E3" sqref="E3"/>
    </sheetView>
  </sheetViews>
  <sheetFormatPr defaultColWidth="26" defaultRowHeight="35.25" customHeight="1"/>
  <cols>
    <col min="1" max="1" width="42" style="8" customWidth="1"/>
    <col min="2" max="2" width="39" style="8" customWidth="1"/>
    <col min="3" max="3" width="40" style="8" customWidth="1"/>
    <col min="4" max="5" width="21.7109375" style="8" customWidth="1"/>
    <col min="6" max="6" width="16" style="8" customWidth="1"/>
    <col min="7" max="7" width="14.42578125" style="8" customWidth="1"/>
    <col min="8" max="8" width="17.85546875" style="8" customWidth="1"/>
    <col min="9" max="9" width="23.140625" style="8" customWidth="1"/>
    <col min="10" max="10" width="19.140625" style="8" customWidth="1"/>
    <col min="11" max="12" width="32" style="8" customWidth="1"/>
    <col min="13" max="13" width="27" style="8" customWidth="1"/>
    <col min="14" max="14" width="9.140625"/>
    <col min="15" max="15" width="22" style="8" customWidth="1"/>
    <col min="16" max="16" width="29.42578125" style="8" customWidth="1"/>
    <col min="17" max="17" width="97.5703125" style="8" bestFit="1" customWidth="1"/>
    <col min="18" max="18" width="52.85546875" style="8" customWidth="1"/>
    <col min="19" max="19" width="20" customWidth="1"/>
    <col min="20" max="20" width="44" style="8" customWidth="1"/>
    <col min="21" max="21" width="26" style="8" customWidth="1"/>
    <col min="22" max="23" width="26" customWidth="1"/>
    <col min="24" max="16384" width="26" style="8"/>
  </cols>
  <sheetData>
    <row r="1" spans="1:23" ht="35.25" customHeight="1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t="s">
        <v>27</v>
      </c>
      <c r="P1" s="7" t="s">
        <v>35</v>
      </c>
      <c r="Q1" s="7" t="s">
        <v>36</v>
      </c>
      <c r="S1" s="32" t="s">
        <v>37</v>
      </c>
      <c r="T1" s="32" t="s">
        <v>38</v>
      </c>
      <c r="U1" s="32" t="s">
        <v>39</v>
      </c>
      <c r="V1" s="32" t="s">
        <v>40</v>
      </c>
      <c r="W1" s="32" t="s">
        <v>41</v>
      </c>
    </row>
    <row r="2" spans="1:23" ht="35.25" customHeight="1">
      <c r="A2" s="8" t="s">
        <v>42</v>
      </c>
      <c r="B2" s="8" t="s">
        <v>43</v>
      </c>
      <c r="C2" s="8" t="s">
        <v>44</v>
      </c>
      <c r="D2" s="8" t="s">
        <v>45</v>
      </c>
      <c r="E2" s="8">
        <v>10</v>
      </c>
      <c r="F2" s="11">
        <v>1</v>
      </c>
      <c r="G2" s="9">
        <v>63100.819199999998</v>
      </c>
      <c r="H2" s="4">
        <v>96312.869234478814</v>
      </c>
      <c r="I2" s="9">
        <v>96312.869234478814</v>
      </c>
      <c r="J2" s="9">
        <v>120602.14028860359</v>
      </c>
      <c r="K2" s="9">
        <v>120602.14028860359</v>
      </c>
      <c r="L2" s="10">
        <v>496974.40524991072</v>
      </c>
      <c r="M2" s="10">
        <v>622307.04388919449</v>
      </c>
      <c r="P2" s="8" t="s">
        <v>46</v>
      </c>
      <c r="Q2" s="8" t="s">
        <v>47</v>
      </c>
    </row>
    <row r="3" spans="1:23" ht="35.25" customHeight="1">
      <c r="A3" s="8" t="s">
        <v>48</v>
      </c>
      <c r="B3" s="8" t="s">
        <v>49</v>
      </c>
      <c r="C3" s="8" t="s">
        <v>50</v>
      </c>
      <c r="D3" s="8" t="s">
        <v>51</v>
      </c>
      <c r="F3" s="11">
        <v>1</v>
      </c>
      <c r="G3" s="9">
        <v>28529</v>
      </c>
      <c r="H3" s="4">
        <v>43544.757124016003</v>
      </c>
      <c r="I3" s="9">
        <v>43544.757124016003</v>
      </c>
      <c r="J3" s="9">
        <v>54526.367548229413</v>
      </c>
      <c r="K3" s="9">
        <v>54526.367548229413</v>
      </c>
      <c r="L3" s="10">
        <v>224690.9467599226</v>
      </c>
      <c r="M3" s="10">
        <v>281356.05654886382</v>
      </c>
      <c r="P3" s="8" t="s">
        <v>46</v>
      </c>
      <c r="Q3" s="8" t="s">
        <v>52</v>
      </c>
    </row>
    <row r="4" spans="1:23" ht="35.25" customHeight="1">
      <c r="A4" s="8" t="s">
        <v>53</v>
      </c>
      <c r="B4" s="8" t="s">
        <v>54</v>
      </c>
      <c r="C4" s="8" t="s">
        <v>55</v>
      </c>
      <c r="D4" s="8" t="s">
        <v>56</v>
      </c>
      <c r="E4" s="8">
        <v>2476</v>
      </c>
      <c r="F4" s="11">
        <v>2</v>
      </c>
      <c r="G4" s="9">
        <v>15685.42</v>
      </c>
      <c r="H4" s="4">
        <v>20427.624399439999</v>
      </c>
      <c r="I4" s="9">
        <v>40855.248798880013</v>
      </c>
      <c r="J4" s="9">
        <v>25579.294264262469</v>
      </c>
      <c r="K4" s="9">
        <v>51158.588528524931</v>
      </c>
      <c r="L4" s="10">
        <v>210813.08380222079</v>
      </c>
      <c r="M4" s="10">
        <v>263978.31680718868</v>
      </c>
      <c r="P4" s="8" t="s">
        <v>46</v>
      </c>
      <c r="Q4" s="8" t="s">
        <v>47</v>
      </c>
    </row>
    <row r="5" spans="1:23" ht="35.25" customHeight="1">
      <c r="A5" s="8" t="s">
        <v>57</v>
      </c>
      <c r="B5" s="8" t="s">
        <v>58</v>
      </c>
      <c r="C5" s="8" t="s">
        <v>59</v>
      </c>
      <c r="D5" s="8" t="s">
        <v>60</v>
      </c>
      <c r="F5" s="11">
        <v>1</v>
      </c>
      <c r="G5" s="9">
        <v>30000</v>
      </c>
      <c r="H5" s="4">
        <v>39069.96</v>
      </c>
      <c r="I5" s="9">
        <v>39069.96</v>
      </c>
      <c r="J5" s="9">
        <v>48923.065364387679</v>
      </c>
      <c r="K5" s="9">
        <v>48923.065364387679</v>
      </c>
      <c r="L5" s="10">
        <v>201600.99359999999</v>
      </c>
      <c r="M5" s="10">
        <v>252443.0172802404</v>
      </c>
      <c r="P5" s="8" t="s">
        <v>46</v>
      </c>
      <c r="Q5" s="8" t="s">
        <v>47</v>
      </c>
    </row>
    <row r="6" spans="1:23" ht="51.75" customHeight="1">
      <c r="A6" s="8" t="s">
        <v>61</v>
      </c>
      <c r="B6" s="8" t="s">
        <v>62</v>
      </c>
      <c r="C6" s="8" t="s">
        <v>63</v>
      </c>
      <c r="D6" s="8" t="s">
        <v>64</v>
      </c>
      <c r="E6" s="8">
        <v>296</v>
      </c>
      <c r="F6" s="11">
        <v>1</v>
      </c>
      <c r="G6" s="9">
        <v>23409.1</v>
      </c>
      <c r="H6" s="4">
        <v>35730.084264846402</v>
      </c>
      <c r="I6" s="9">
        <v>35730.084264846402</v>
      </c>
      <c r="J6" s="9">
        <v>44740.90190939945</v>
      </c>
      <c r="K6" s="9">
        <v>44740.90190939945</v>
      </c>
      <c r="L6" s="10">
        <v>184367.23480660739</v>
      </c>
      <c r="M6" s="10">
        <v>230863.05385250121</v>
      </c>
      <c r="P6" s="8" t="s">
        <v>46</v>
      </c>
      <c r="Q6" s="8" t="s">
        <v>52</v>
      </c>
    </row>
    <row r="7" spans="1:23" ht="35.25" customHeight="1">
      <c r="A7" s="8" t="s">
        <v>65</v>
      </c>
      <c r="B7" s="8" t="s">
        <v>66</v>
      </c>
      <c r="C7" s="8" t="s">
        <v>50</v>
      </c>
      <c r="D7" s="8" t="s">
        <v>50</v>
      </c>
      <c r="E7" s="8">
        <v>21.2</v>
      </c>
      <c r="F7" s="11">
        <v>1</v>
      </c>
      <c r="G7" s="9">
        <v>20000</v>
      </c>
      <c r="H7" s="4">
        <v>26046.639999999999</v>
      </c>
      <c r="I7" s="9">
        <v>26046.639999999999</v>
      </c>
      <c r="J7" s="9">
        <v>32615.376909591789</v>
      </c>
      <c r="K7" s="9">
        <v>32615.376909591789</v>
      </c>
      <c r="L7" s="10">
        <v>134400.6624</v>
      </c>
      <c r="M7" s="10">
        <v>168295.34485349359</v>
      </c>
      <c r="P7" s="8" t="s">
        <v>46</v>
      </c>
      <c r="Q7" s="8" t="s">
        <v>52</v>
      </c>
    </row>
    <row r="8" spans="1:23" ht="35.25" customHeight="1">
      <c r="A8" s="8" t="s">
        <v>67</v>
      </c>
      <c r="B8" s="8" t="s">
        <v>68</v>
      </c>
      <c r="C8" s="8" t="s">
        <v>44</v>
      </c>
      <c r="D8" s="8" t="s">
        <v>69</v>
      </c>
      <c r="E8" s="8">
        <v>19</v>
      </c>
      <c r="F8" s="11">
        <v>3</v>
      </c>
      <c r="G8" s="9">
        <v>5176.9117999999999</v>
      </c>
      <c r="H8" s="4">
        <v>6742.0578983175992</v>
      </c>
      <c r="I8" s="9">
        <v>20226.173694952799</v>
      </c>
      <c r="J8" s="9">
        <v>8442.3464792356626</v>
      </c>
      <c r="K8" s="9">
        <v>25327.03943770699</v>
      </c>
      <c r="L8" s="10">
        <v>104367.0562659564</v>
      </c>
      <c r="M8" s="10">
        <v>130687.5234985681</v>
      </c>
      <c r="P8" s="8" t="s">
        <v>46</v>
      </c>
      <c r="Q8" s="8" t="s">
        <v>47</v>
      </c>
    </row>
    <row r="9" spans="1:23" ht="35.25" customHeight="1">
      <c r="A9" s="8" t="s">
        <v>70</v>
      </c>
      <c r="B9" s="8" t="s">
        <v>71</v>
      </c>
      <c r="C9" s="8" t="s">
        <v>44</v>
      </c>
      <c r="D9" s="8" t="s">
        <v>72</v>
      </c>
      <c r="E9" s="8">
        <v>5</v>
      </c>
      <c r="F9" s="11">
        <v>2</v>
      </c>
      <c r="G9" s="9">
        <v>5000</v>
      </c>
      <c r="H9" s="4">
        <v>7631.6655199999996</v>
      </c>
      <c r="I9" s="9">
        <v>15263.331039999999</v>
      </c>
      <c r="J9" s="9">
        <v>9556.3054345103956</v>
      </c>
      <c r="K9" s="9">
        <v>19112.610869020791</v>
      </c>
      <c r="L9" s="10">
        <v>78758.788166400002</v>
      </c>
      <c r="M9" s="10">
        <v>98621.072084147279</v>
      </c>
      <c r="P9" s="8" t="s">
        <v>46</v>
      </c>
      <c r="Q9" s="8" t="s">
        <v>73</v>
      </c>
      <c r="S9" t="s">
        <v>74</v>
      </c>
      <c r="T9" t="s">
        <v>75</v>
      </c>
      <c r="U9" s="3">
        <v>98621.072084147279</v>
      </c>
      <c r="V9" s="3">
        <v>7609.408031064615</v>
      </c>
      <c r="W9" t="s">
        <v>76</v>
      </c>
    </row>
    <row r="10" spans="1:23" ht="35.25" customHeight="1">
      <c r="A10" s="8" t="s">
        <v>77</v>
      </c>
      <c r="B10" s="8" t="s">
        <v>78</v>
      </c>
      <c r="C10" s="8" t="s">
        <v>44</v>
      </c>
      <c r="D10" s="8" t="s">
        <v>72</v>
      </c>
      <c r="E10" s="8">
        <v>20</v>
      </c>
      <c r="F10" s="11">
        <v>1</v>
      </c>
      <c r="G10" s="9">
        <v>8000</v>
      </c>
      <c r="H10" s="4">
        <v>12210.664832</v>
      </c>
      <c r="I10" s="9">
        <v>12210.664832</v>
      </c>
      <c r="J10" s="9">
        <v>15290.088695216629</v>
      </c>
      <c r="K10" s="9">
        <v>15290.088695216629</v>
      </c>
      <c r="L10" s="10">
        <v>63007.030533120007</v>
      </c>
      <c r="M10" s="10">
        <v>78896.857667317803</v>
      </c>
      <c r="P10" s="8" t="s">
        <v>46</v>
      </c>
      <c r="Q10" s="8" t="s">
        <v>47</v>
      </c>
    </row>
    <row r="11" spans="1:23" ht="35.25" customHeight="1">
      <c r="A11" s="8" t="s">
        <v>79</v>
      </c>
      <c r="B11" s="8" t="s">
        <v>80</v>
      </c>
      <c r="C11" s="8" t="s">
        <v>81</v>
      </c>
      <c r="D11" s="8" t="s">
        <v>82</v>
      </c>
      <c r="E11" s="8">
        <v>45</v>
      </c>
      <c r="F11" s="11">
        <v>1</v>
      </c>
      <c r="I11" s="4">
        <v>11326.967464763569</v>
      </c>
      <c r="J11" s="4">
        <v>14183.530509345819</v>
      </c>
      <c r="K11" s="4">
        <v>14183.530509345819</v>
      </c>
      <c r="L11" s="3">
        <v>58447.152118179998</v>
      </c>
      <c r="M11" s="3">
        <v>73187.017428224412</v>
      </c>
      <c r="N11" s="3">
        <v>58447.152118179998</v>
      </c>
      <c r="P11" s="8" t="s">
        <v>83</v>
      </c>
      <c r="Q11" s="8" t="s">
        <v>52</v>
      </c>
    </row>
    <row r="12" spans="1:23" ht="35.25" customHeight="1">
      <c r="A12" s="8" t="s">
        <v>84</v>
      </c>
      <c r="B12" s="8" t="s">
        <v>85</v>
      </c>
      <c r="C12" s="8" t="s">
        <v>44</v>
      </c>
      <c r="D12" s="8" t="s">
        <v>72</v>
      </c>
      <c r="E12" s="8">
        <v>57</v>
      </c>
      <c r="F12" s="11">
        <v>1</v>
      </c>
      <c r="G12" s="9">
        <v>5877.1019999999999</v>
      </c>
      <c r="I12" s="9">
        <v>9464.1996687268802</v>
      </c>
      <c r="J12" s="9">
        <v>11850.988816337191</v>
      </c>
      <c r="K12" s="9">
        <v>11850.988816337191</v>
      </c>
      <c r="L12" s="10">
        <v>48835.270290630702</v>
      </c>
      <c r="M12" s="10">
        <v>61151.102292299896</v>
      </c>
      <c r="P12" s="8" t="s">
        <v>86</v>
      </c>
      <c r="Q12" s="8" t="s">
        <v>47</v>
      </c>
    </row>
    <row r="13" spans="1:23" ht="35.25" customHeight="1">
      <c r="A13" s="8" t="s">
        <v>87</v>
      </c>
      <c r="B13" s="8" t="s">
        <v>88</v>
      </c>
      <c r="C13" s="8" t="s">
        <v>63</v>
      </c>
      <c r="D13" s="8" t="s">
        <v>64</v>
      </c>
      <c r="E13" s="8">
        <v>17.5</v>
      </c>
      <c r="F13" s="11">
        <v>1</v>
      </c>
      <c r="G13" s="9">
        <v>5702.83</v>
      </c>
      <c r="H13" s="4">
        <v>8704.4182154843184</v>
      </c>
      <c r="I13" s="9">
        <v>8704.4182154843184</v>
      </c>
      <c r="J13" s="9">
        <v>10899.59706421778</v>
      </c>
      <c r="K13" s="9">
        <v>10899.59706421778</v>
      </c>
      <c r="L13" s="10">
        <v>44914.797991899082</v>
      </c>
      <c r="M13" s="10">
        <v>56241.92085136375</v>
      </c>
      <c r="P13" s="8" t="s">
        <v>46</v>
      </c>
      <c r="Q13" s="8" t="s">
        <v>52</v>
      </c>
    </row>
    <row r="14" spans="1:23" ht="35.25" customHeight="1">
      <c r="A14" s="8" t="s">
        <v>89</v>
      </c>
      <c r="B14" s="8" t="s">
        <v>90</v>
      </c>
      <c r="C14" s="8" t="s">
        <v>44</v>
      </c>
      <c r="D14" s="8" t="s">
        <v>69</v>
      </c>
      <c r="E14" s="8">
        <v>11</v>
      </c>
      <c r="F14" s="11">
        <v>1</v>
      </c>
      <c r="G14" s="9">
        <v>4150.9558999999999</v>
      </c>
      <c r="H14" s="4">
        <v>5405.9226991587993</v>
      </c>
      <c r="I14" s="9">
        <v>5405.9226991587993</v>
      </c>
      <c r="J14" s="9">
        <v>6769.2495606796892</v>
      </c>
      <c r="K14" s="9">
        <v>6769.2495606796892</v>
      </c>
      <c r="L14" s="10">
        <v>27894.56112765941</v>
      </c>
      <c r="M14" s="10">
        <v>34929.327733107188</v>
      </c>
      <c r="P14" s="8" t="s">
        <v>46</v>
      </c>
      <c r="Q14" s="8" t="s">
        <v>52</v>
      </c>
    </row>
    <row r="15" spans="1:23" ht="35.25" customHeight="1">
      <c r="A15" s="8" t="s">
        <v>91</v>
      </c>
      <c r="B15" s="8" t="s">
        <v>92</v>
      </c>
      <c r="C15" s="8" t="s">
        <v>59</v>
      </c>
      <c r="D15" s="8" t="s">
        <v>93</v>
      </c>
      <c r="E15" s="8">
        <v>16.7</v>
      </c>
      <c r="F15" s="11">
        <v>1</v>
      </c>
      <c r="G15" s="9">
        <v>3933</v>
      </c>
      <c r="H15" s="4">
        <v>5122.0717560000003</v>
      </c>
      <c r="I15" s="9">
        <v>5122.0717560000003</v>
      </c>
      <c r="J15" s="9">
        <v>6413.8138692712246</v>
      </c>
      <c r="K15" s="9">
        <v>6413.8138692712246</v>
      </c>
      <c r="L15" s="10">
        <v>26429.890260960001</v>
      </c>
      <c r="M15" s="10">
        <v>33095.279565439523</v>
      </c>
      <c r="P15" s="8" t="s">
        <v>46</v>
      </c>
      <c r="Q15" s="8" t="s">
        <v>47</v>
      </c>
    </row>
    <row r="16" spans="1:23" ht="35.25" customHeight="1">
      <c r="A16" s="8" t="s">
        <v>94</v>
      </c>
      <c r="B16" s="8" t="s">
        <v>95</v>
      </c>
      <c r="C16" s="8" t="s">
        <v>50</v>
      </c>
      <c r="D16" s="8" t="s">
        <v>50</v>
      </c>
      <c r="E16" s="8">
        <v>10</v>
      </c>
      <c r="F16" s="11">
        <v>1</v>
      </c>
      <c r="G16" s="9">
        <v>2981.71</v>
      </c>
      <c r="H16" s="4">
        <v>4551.0826795278399</v>
      </c>
      <c r="I16" s="9">
        <v>4551.0826795278399</v>
      </c>
      <c r="J16" s="9">
        <v>5698.8262954267984</v>
      </c>
      <c r="K16" s="9">
        <v>5698.8262954267984</v>
      </c>
      <c r="L16" s="10">
        <v>23483.58662636366</v>
      </c>
      <c r="M16" s="10">
        <v>29405.943684402271</v>
      </c>
      <c r="P16" s="8" t="s">
        <v>46</v>
      </c>
      <c r="Q16" s="8" t="s">
        <v>52</v>
      </c>
    </row>
    <row r="17" spans="1:23" ht="35.25" customHeight="1">
      <c r="A17" s="8" t="s">
        <v>96</v>
      </c>
      <c r="B17" s="8" t="s">
        <v>97</v>
      </c>
      <c r="C17" s="8" t="s">
        <v>56</v>
      </c>
      <c r="D17" s="8" t="s">
        <v>98</v>
      </c>
      <c r="E17" s="8">
        <v>40</v>
      </c>
      <c r="F17" s="11">
        <v>1</v>
      </c>
      <c r="I17" s="9">
        <v>2915.0271137942609</v>
      </c>
      <c r="J17" s="9">
        <v>3650.1716927050611</v>
      </c>
      <c r="K17" s="9">
        <v>3650.1716927050611</v>
      </c>
      <c r="L17" s="10">
        <v>15041.53990717839</v>
      </c>
      <c r="M17" s="10">
        <v>18834.88593435811</v>
      </c>
      <c r="N17" s="10">
        <v>15041.53990717839</v>
      </c>
      <c r="P17" s="8" t="s">
        <v>83</v>
      </c>
      <c r="Q17" s="8" t="s">
        <v>99</v>
      </c>
    </row>
    <row r="18" spans="1:23" ht="35.25" customHeight="1">
      <c r="A18" s="8" t="s">
        <v>100</v>
      </c>
      <c r="B18" s="8" t="s">
        <v>101</v>
      </c>
      <c r="C18" s="8" t="s">
        <v>55</v>
      </c>
      <c r="D18" s="8" t="s">
        <v>102</v>
      </c>
      <c r="F18" s="11">
        <v>1</v>
      </c>
      <c r="G18" s="9">
        <v>1572.36</v>
      </c>
      <c r="I18" s="9">
        <v>2532.0521901983998</v>
      </c>
      <c r="J18" s="9">
        <v>3170.6138119188581</v>
      </c>
      <c r="K18" s="9">
        <v>3170.6138119188581</v>
      </c>
      <c r="L18" s="10">
        <v>13065.38930142374</v>
      </c>
      <c r="M18" s="10">
        <v>16360.36726950131</v>
      </c>
      <c r="P18" s="8" t="s">
        <v>86</v>
      </c>
      <c r="Q18" s="8" t="s">
        <v>73</v>
      </c>
    </row>
    <row r="19" spans="1:23" ht="35.25" customHeight="1">
      <c r="A19" s="8" t="s">
        <v>103</v>
      </c>
      <c r="B19" s="8" t="s">
        <v>104</v>
      </c>
      <c r="C19" s="8" t="s">
        <v>44</v>
      </c>
      <c r="D19" s="8" t="s">
        <v>72</v>
      </c>
      <c r="E19" s="8">
        <v>10</v>
      </c>
      <c r="F19" s="11">
        <v>1</v>
      </c>
      <c r="G19" s="9">
        <v>1891.99</v>
      </c>
      <c r="H19" s="4">
        <v>2463.99912068</v>
      </c>
      <c r="I19" s="9">
        <v>2463.99912068</v>
      </c>
      <c r="J19" s="9">
        <v>3085.3983479589278</v>
      </c>
      <c r="K19" s="9">
        <v>3085.3983479589278</v>
      </c>
      <c r="L19" s="10">
        <v>12714.235462708801</v>
      </c>
      <c r="M19" s="10">
        <v>15920.655475468069</v>
      </c>
      <c r="P19" s="8" t="s">
        <v>46</v>
      </c>
      <c r="Q19" s="8" t="s">
        <v>99</v>
      </c>
    </row>
    <row r="20" spans="1:23" ht="35.25" customHeight="1">
      <c r="B20" s="8" t="s">
        <v>105</v>
      </c>
      <c r="C20" s="8" t="s">
        <v>44</v>
      </c>
      <c r="D20" s="8" t="s">
        <v>72</v>
      </c>
      <c r="E20" s="8">
        <v>5</v>
      </c>
      <c r="F20" s="11">
        <v>2</v>
      </c>
      <c r="G20" s="4">
        <v>800</v>
      </c>
      <c r="H20" s="4">
        <v>1221.0664832</v>
      </c>
      <c r="I20" s="4">
        <v>2442.1329664</v>
      </c>
      <c r="J20" s="4">
        <v>1529.008869521663</v>
      </c>
      <c r="K20" s="4">
        <v>3058.0177390433259</v>
      </c>
      <c r="L20" s="3">
        <v>12601.406106623999</v>
      </c>
      <c r="M20" s="3">
        <v>15779.371533463571</v>
      </c>
      <c r="P20" s="8" t="s">
        <v>46</v>
      </c>
      <c r="Q20" s="8" t="s">
        <v>99</v>
      </c>
    </row>
    <row r="21" spans="1:23" ht="35.25" customHeight="1">
      <c r="B21" s="8" t="s">
        <v>106</v>
      </c>
      <c r="C21" s="8" t="s">
        <v>44</v>
      </c>
      <c r="D21" s="8" t="s">
        <v>72</v>
      </c>
      <c r="E21" s="8">
        <v>2</v>
      </c>
      <c r="F21" s="11">
        <v>4</v>
      </c>
      <c r="G21" s="4">
        <v>375</v>
      </c>
      <c r="H21" s="4">
        <v>572.37491399999999</v>
      </c>
      <c r="I21" s="4">
        <v>2289.499656</v>
      </c>
      <c r="J21" s="4">
        <v>716.72290758827967</v>
      </c>
      <c r="K21" s="4">
        <v>2866.8916303531191</v>
      </c>
      <c r="L21" s="3">
        <v>11813.818224959999</v>
      </c>
      <c r="M21" s="3">
        <v>14793.160812622091</v>
      </c>
      <c r="P21" s="8" t="s">
        <v>46</v>
      </c>
      <c r="Q21" s="8" t="s">
        <v>47</v>
      </c>
    </row>
    <row r="22" spans="1:23" ht="35.25" customHeight="1">
      <c r="A22" s="8" t="s">
        <v>107</v>
      </c>
      <c r="B22" s="8" t="s">
        <v>108</v>
      </c>
      <c r="C22" s="8" t="s">
        <v>44</v>
      </c>
      <c r="D22" s="8" t="s">
        <v>69</v>
      </c>
      <c r="F22" s="11">
        <v>1</v>
      </c>
      <c r="I22" s="9">
        <v>2248.7823562375188</v>
      </c>
      <c r="J22" s="9">
        <v>2815.905780412621</v>
      </c>
      <c r="K22" s="9">
        <v>2815.905780412621</v>
      </c>
      <c r="L22" s="10">
        <v>11603.7169581856</v>
      </c>
      <c r="M22" s="10">
        <v>14530.073826929131</v>
      </c>
      <c r="N22" s="10">
        <v>11603.7169581856</v>
      </c>
      <c r="P22" s="8" t="s">
        <v>83</v>
      </c>
      <c r="Q22" s="8" t="s">
        <v>73</v>
      </c>
    </row>
    <row r="23" spans="1:23" s="21" customFormat="1" ht="35.25" customHeight="1">
      <c r="A23" s="21" t="s">
        <v>109</v>
      </c>
      <c r="B23" s="21" t="s">
        <v>110</v>
      </c>
      <c r="C23" s="21" t="s">
        <v>81</v>
      </c>
      <c r="D23" s="21" t="s">
        <v>82</v>
      </c>
      <c r="F23" s="22">
        <v>1</v>
      </c>
      <c r="I23" s="23">
        <v>2248.7823562375188</v>
      </c>
      <c r="J23" s="23">
        <v>2815.9057804126219</v>
      </c>
      <c r="K23" s="23">
        <v>2815.9057804126219</v>
      </c>
      <c r="L23" s="24">
        <v>11603.7169581856</v>
      </c>
      <c r="M23" s="24">
        <v>14530.073826929131</v>
      </c>
      <c r="N23" s="24">
        <v>11603.7169581856</v>
      </c>
      <c r="P23" s="21" t="s">
        <v>83</v>
      </c>
      <c r="Q23" s="21" t="s">
        <v>52</v>
      </c>
      <c r="S23" s="25"/>
      <c r="V23" s="25"/>
      <c r="W23" s="25"/>
    </row>
    <row r="24" spans="1:23" ht="35.25" customHeight="1">
      <c r="A24" s="8" t="s">
        <v>111</v>
      </c>
      <c r="B24" s="8" t="s">
        <v>112</v>
      </c>
      <c r="C24" s="8" t="s">
        <v>44</v>
      </c>
      <c r="D24" s="8" t="s">
        <v>72</v>
      </c>
      <c r="F24" s="11">
        <v>1</v>
      </c>
      <c r="I24" s="9">
        <v>1839.42966718041</v>
      </c>
      <c r="J24" s="9">
        <v>2303.3178902835089</v>
      </c>
      <c r="K24" s="9">
        <v>2303.3178902835089</v>
      </c>
      <c r="L24" s="10">
        <v>9491.4570826509171</v>
      </c>
      <c r="M24" s="10">
        <v>11885.12031386291</v>
      </c>
      <c r="N24" s="10">
        <v>9491.4570826509171</v>
      </c>
      <c r="P24" s="8" t="s">
        <v>83</v>
      </c>
      <c r="Q24" s="8" t="s">
        <v>47</v>
      </c>
    </row>
    <row r="25" spans="1:23" ht="35.25" customHeight="1">
      <c r="A25" t="s">
        <v>113</v>
      </c>
      <c r="B25" t="s">
        <v>114</v>
      </c>
      <c r="C25" t="s">
        <v>86</v>
      </c>
      <c r="D25" t="s">
        <v>114</v>
      </c>
      <c r="E25"/>
      <c r="F25" s="12">
        <v>1</v>
      </c>
      <c r="I25" s="4">
        <v>1792.8534685122399</v>
      </c>
      <c r="J25" s="4">
        <v>2244.9955779016291</v>
      </c>
      <c r="K25" s="4">
        <v>2244.9955779016291</v>
      </c>
      <c r="L25" s="3">
        <v>9251.1238975231608</v>
      </c>
      <c r="M25" s="3">
        <v>11584.177181972411</v>
      </c>
      <c r="N25" s="3">
        <v>9251.1238975231608</v>
      </c>
      <c r="P25" t="s">
        <v>83</v>
      </c>
      <c r="Q25" s="8" t="s">
        <v>73</v>
      </c>
    </row>
    <row r="26" spans="1:23" ht="35.25" customHeight="1">
      <c r="A26" s="8" t="s">
        <v>115</v>
      </c>
      <c r="B26" s="8" t="s">
        <v>116</v>
      </c>
      <c r="C26" s="8" t="s">
        <v>63</v>
      </c>
      <c r="D26" s="8" t="s">
        <v>64</v>
      </c>
      <c r="F26" s="11">
        <v>1</v>
      </c>
      <c r="G26" s="9">
        <v>1036.8900000000001</v>
      </c>
      <c r="H26" s="4">
        <v>1582.63953220656</v>
      </c>
      <c r="I26" s="9">
        <v>1582.63953220656</v>
      </c>
      <c r="J26" s="9">
        <v>1981.7675083978961</v>
      </c>
      <c r="K26" s="9">
        <v>1981.7675083978961</v>
      </c>
      <c r="L26" s="10">
        <v>8166.4199861858497</v>
      </c>
      <c r="M26" s="10">
        <v>10225.92034333315</v>
      </c>
      <c r="P26" s="8" t="s">
        <v>46</v>
      </c>
      <c r="Q26" s="8" t="s">
        <v>47</v>
      </c>
      <c r="S26" t="s">
        <v>74</v>
      </c>
      <c r="T26" t="s">
        <v>117</v>
      </c>
      <c r="U26" s="3">
        <v>10225.92034333315</v>
      </c>
      <c r="V26" s="3">
        <v>8409.4742822927637</v>
      </c>
      <c r="W26" t="s">
        <v>118</v>
      </c>
    </row>
    <row r="27" spans="1:23" ht="35.25" customHeight="1">
      <c r="A27" s="8" t="s">
        <v>119</v>
      </c>
      <c r="B27" s="8" t="s">
        <v>120</v>
      </c>
      <c r="C27" s="8" t="s">
        <v>81</v>
      </c>
      <c r="D27" s="8" t="s">
        <v>44</v>
      </c>
      <c r="F27" s="11">
        <v>1</v>
      </c>
      <c r="I27" s="9">
        <v>1306.7417326782761</v>
      </c>
      <c r="J27" s="9">
        <v>1636.2906745282701</v>
      </c>
      <c r="K27" s="9">
        <v>1636.2906745282701</v>
      </c>
      <c r="L27" s="10">
        <v>6742.7873406199051</v>
      </c>
      <c r="M27" s="10">
        <v>8443.2598805658727</v>
      </c>
      <c r="N27" s="10">
        <v>6742.7873406199051</v>
      </c>
      <c r="P27" s="8" t="s">
        <v>86</v>
      </c>
      <c r="Q27" s="8" t="s">
        <v>47</v>
      </c>
    </row>
    <row r="28" spans="1:23" ht="35.25" customHeight="1">
      <c r="A28" s="8" t="s">
        <v>121</v>
      </c>
      <c r="B28" s="8" t="s">
        <v>122</v>
      </c>
      <c r="C28" s="8" t="s">
        <v>81</v>
      </c>
      <c r="D28" s="8" t="s">
        <v>44</v>
      </c>
      <c r="F28" s="11">
        <v>20</v>
      </c>
      <c r="I28" s="9">
        <v>1264.43025398997</v>
      </c>
      <c r="J28" s="9">
        <v>79.165430377533795</v>
      </c>
      <c r="K28" s="9">
        <v>1583.308607550676</v>
      </c>
      <c r="L28" s="10">
        <v>6524.4601105882448</v>
      </c>
      <c r="M28" s="10">
        <v>8169.8724149614882</v>
      </c>
      <c r="N28" s="10">
        <v>326.22300552941232</v>
      </c>
      <c r="P28" s="8" t="s">
        <v>83</v>
      </c>
      <c r="Q28" s="8" t="s">
        <v>99</v>
      </c>
    </row>
    <row r="29" spans="1:23" ht="35.25" customHeight="1">
      <c r="A29" s="8" t="s">
        <v>123</v>
      </c>
      <c r="B29" s="8" t="s">
        <v>124</v>
      </c>
      <c r="C29" s="8" t="s">
        <v>59</v>
      </c>
      <c r="D29" s="8" t="s">
        <v>93</v>
      </c>
      <c r="F29" s="11">
        <v>1</v>
      </c>
      <c r="G29" s="9">
        <v>761</v>
      </c>
      <c r="H29" s="4">
        <v>991.07465200000001</v>
      </c>
      <c r="I29" s="9">
        <v>991.07465200000001</v>
      </c>
      <c r="J29" s="9">
        <v>1241.015091409967</v>
      </c>
      <c r="K29" s="9">
        <v>1241.015091409967</v>
      </c>
      <c r="L29" s="10">
        <v>5113.9452043199999</v>
      </c>
      <c r="M29" s="10">
        <v>6403.6378716754334</v>
      </c>
      <c r="P29" s="8" t="s">
        <v>46</v>
      </c>
      <c r="Q29" s="8" t="s">
        <v>99</v>
      </c>
      <c r="S29" t="s">
        <v>74</v>
      </c>
      <c r="T29" t="s">
        <v>75</v>
      </c>
      <c r="U29" s="3">
        <v>6403.6378716754334</v>
      </c>
      <c r="V29" s="3">
        <v>3569.042073628852</v>
      </c>
      <c r="W29" t="s">
        <v>125</v>
      </c>
    </row>
    <row r="30" spans="1:23" ht="35.25" customHeight="1">
      <c r="A30" s="8" t="s">
        <v>126</v>
      </c>
      <c r="B30" s="8" t="s">
        <v>127</v>
      </c>
      <c r="C30" s="8" t="s">
        <v>55</v>
      </c>
      <c r="D30" s="8" t="s">
        <v>56</v>
      </c>
      <c r="F30" s="11">
        <v>1</v>
      </c>
      <c r="I30" s="9">
        <v>924.61033482831078</v>
      </c>
      <c r="J30" s="9">
        <v>1157.7890493717889</v>
      </c>
      <c r="K30" s="9">
        <v>1157.7890493717889</v>
      </c>
      <c r="L30" s="10">
        <v>4770.9893277140836</v>
      </c>
      <c r="M30" s="10">
        <v>5974.1914947584319</v>
      </c>
      <c r="N30" s="10">
        <v>4770.9893277140836</v>
      </c>
      <c r="P30" s="8" t="s">
        <v>86</v>
      </c>
      <c r="Q30" s="8" t="s">
        <v>99</v>
      </c>
    </row>
    <row r="31" spans="1:23" ht="35.25" customHeight="1">
      <c r="A31" s="8" t="s">
        <v>128</v>
      </c>
      <c r="B31" s="8" t="s">
        <v>129</v>
      </c>
      <c r="C31" s="8" t="s">
        <v>50</v>
      </c>
      <c r="D31" s="8" t="s">
        <v>50</v>
      </c>
      <c r="F31" s="11">
        <v>1</v>
      </c>
      <c r="G31" s="9">
        <v>595.78890000000001</v>
      </c>
      <c r="H31" s="4">
        <v>909.3723210657455</v>
      </c>
      <c r="I31" s="9">
        <v>909.3723210657455</v>
      </c>
      <c r="J31" s="9">
        <v>1138.7081405781939</v>
      </c>
      <c r="K31" s="9">
        <v>1138.7081405781939</v>
      </c>
      <c r="L31" s="10">
        <v>4692.3611766992472</v>
      </c>
      <c r="M31" s="10">
        <v>5875.7340053834796</v>
      </c>
      <c r="P31" s="8" t="s">
        <v>46</v>
      </c>
      <c r="Q31" s="8" t="s">
        <v>99</v>
      </c>
    </row>
    <row r="32" spans="1:23" ht="35.25" customHeight="1">
      <c r="A32" s="8" t="s">
        <v>130</v>
      </c>
      <c r="B32" s="8" t="s">
        <v>131</v>
      </c>
      <c r="C32" s="8" t="s">
        <v>44</v>
      </c>
      <c r="D32" s="8" t="s">
        <v>72</v>
      </c>
      <c r="F32" s="11">
        <v>30</v>
      </c>
      <c r="I32" s="9">
        <v>741.13821159624274</v>
      </c>
      <c r="J32" s="9">
        <v>30.93489488255458</v>
      </c>
      <c r="K32" s="9">
        <v>928.04684647663748</v>
      </c>
      <c r="L32" s="10">
        <v>3824.2731718366122</v>
      </c>
      <c r="M32" s="10">
        <v>4788.7217278194494</v>
      </c>
      <c r="N32" s="10">
        <v>127.4757723945537</v>
      </c>
      <c r="P32" s="8" t="s">
        <v>83</v>
      </c>
      <c r="Q32" s="8" t="s">
        <v>99</v>
      </c>
    </row>
    <row r="33" spans="1:23" ht="35.25" customHeight="1">
      <c r="A33" s="8" t="s">
        <v>132</v>
      </c>
      <c r="B33" s="8" t="s">
        <v>133</v>
      </c>
      <c r="C33" s="8" t="s">
        <v>50</v>
      </c>
      <c r="D33" s="8" t="s">
        <v>50</v>
      </c>
      <c r="F33" s="11">
        <v>1</v>
      </c>
      <c r="G33" s="9">
        <v>411.22</v>
      </c>
      <c r="H33" s="4">
        <v>627.65869902688007</v>
      </c>
      <c r="I33" s="9">
        <v>627.65869902688007</v>
      </c>
      <c r="J33" s="9">
        <v>785.94878415587289</v>
      </c>
      <c r="K33" s="9">
        <v>785.94878415587289</v>
      </c>
      <c r="L33" s="10">
        <v>3238.718886978701</v>
      </c>
      <c r="M33" s="10">
        <v>4055.495726244304</v>
      </c>
      <c r="P33" s="8" t="s">
        <v>46</v>
      </c>
      <c r="Q33" s="8" t="s">
        <v>134</v>
      </c>
      <c r="S33" t="s">
        <v>74</v>
      </c>
      <c r="T33" t="s">
        <v>135</v>
      </c>
      <c r="U33" s="3">
        <v>4055.495726244304</v>
      </c>
      <c r="V33" s="3">
        <v>373.69820262382302</v>
      </c>
      <c r="W33" t="s">
        <v>136</v>
      </c>
    </row>
    <row r="34" spans="1:23" ht="35.25" customHeight="1">
      <c r="A34" s="8" t="s">
        <v>137</v>
      </c>
      <c r="B34" s="8" t="s">
        <v>138</v>
      </c>
      <c r="C34" s="8" t="s">
        <v>50</v>
      </c>
      <c r="D34" s="8" t="s">
        <v>50</v>
      </c>
      <c r="F34" s="11">
        <v>1</v>
      </c>
      <c r="G34" s="9">
        <v>404.62389999999999</v>
      </c>
      <c r="H34" s="4">
        <v>617.5908532395855</v>
      </c>
      <c r="I34" s="9">
        <v>617.5908532395855</v>
      </c>
      <c r="J34" s="9">
        <v>773.34191490055787</v>
      </c>
      <c r="K34" s="9">
        <v>773.34191490055787</v>
      </c>
      <c r="L34" s="10">
        <v>3186.7688027162608</v>
      </c>
      <c r="M34" s="10">
        <v>3990.4442808868789</v>
      </c>
      <c r="P34" s="8" t="s">
        <v>46</v>
      </c>
      <c r="Q34" s="8" t="s">
        <v>99</v>
      </c>
    </row>
    <row r="35" spans="1:23" ht="35.25" customHeight="1">
      <c r="A35" s="8" t="s">
        <v>139</v>
      </c>
      <c r="B35" s="8" t="s">
        <v>140</v>
      </c>
      <c r="C35" s="8" t="s">
        <v>44</v>
      </c>
      <c r="D35" s="8" t="s">
        <v>72</v>
      </c>
      <c r="F35" s="11">
        <v>2</v>
      </c>
      <c r="I35" s="9">
        <v>573.97816679447192</v>
      </c>
      <c r="J35" s="9">
        <v>359.36524342253432</v>
      </c>
      <c r="K35" s="9">
        <v>718.73048684506864</v>
      </c>
      <c r="L35" s="10">
        <v>2961.727340659475</v>
      </c>
      <c r="M35" s="10">
        <v>3708.649312120554</v>
      </c>
      <c r="N35" s="10">
        <v>1480.863670329737</v>
      </c>
      <c r="P35" s="8" t="s">
        <v>83</v>
      </c>
      <c r="Q35" s="8" t="s">
        <v>134</v>
      </c>
      <c r="S35" t="s">
        <v>141</v>
      </c>
      <c r="T35" t="s">
        <v>142</v>
      </c>
      <c r="U35" s="3">
        <v>4406.4269767270926</v>
      </c>
      <c r="V35" s="3">
        <v>3708.649312120554</v>
      </c>
      <c r="W35" t="s">
        <v>143</v>
      </c>
    </row>
    <row r="36" spans="1:23" ht="35.25" customHeight="1">
      <c r="A36" s="8" t="s">
        <v>144</v>
      </c>
      <c r="B36" s="8" t="s">
        <v>145</v>
      </c>
      <c r="C36" s="8" t="s">
        <v>44</v>
      </c>
      <c r="D36" s="8" t="s">
        <v>72</v>
      </c>
      <c r="F36" s="11">
        <v>1</v>
      </c>
      <c r="I36" s="9">
        <v>551.0420287995571</v>
      </c>
      <c r="J36" s="9">
        <v>690.01005359323449</v>
      </c>
      <c r="K36" s="9">
        <v>690.01005359323449</v>
      </c>
      <c r="L36" s="10">
        <v>2843.3768686057151</v>
      </c>
      <c r="M36" s="10">
        <v>3560.4518765410899</v>
      </c>
      <c r="N36" s="10">
        <v>2843.3768686057151</v>
      </c>
      <c r="P36" s="8" t="s">
        <v>83</v>
      </c>
      <c r="Q36" s="8" t="s">
        <v>134</v>
      </c>
    </row>
    <row r="37" spans="1:23" ht="35.25" customHeight="1">
      <c r="A37" s="8" t="s">
        <v>146</v>
      </c>
      <c r="B37" s="8" t="s">
        <v>147</v>
      </c>
      <c r="C37" s="8" t="s">
        <v>44</v>
      </c>
      <c r="D37" s="8" t="s">
        <v>69</v>
      </c>
      <c r="F37" s="11">
        <v>1</v>
      </c>
      <c r="I37" s="9">
        <v>491.25710705983772</v>
      </c>
      <c r="J37" s="9">
        <v>615.14789263691182</v>
      </c>
      <c r="K37" s="9">
        <v>615.14789263691182</v>
      </c>
      <c r="L37" s="10">
        <v>2534.8866724287632</v>
      </c>
      <c r="M37" s="10">
        <v>3174.1631260064651</v>
      </c>
      <c r="N37" s="10">
        <v>2534.8866724287632</v>
      </c>
      <c r="P37" s="8" t="s">
        <v>83</v>
      </c>
      <c r="Q37" s="8" t="s">
        <v>99</v>
      </c>
    </row>
    <row r="38" spans="1:23" ht="35.25" customHeight="1">
      <c r="A38" s="8" t="s">
        <v>148</v>
      </c>
      <c r="B38" s="8" t="s">
        <v>149</v>
      </c>
      <c r="C38" s="8" t="s">
        <v>44</v>
      </c>
      <c r="D38" s="8" t="s">
        <v>72</v>
      </c>
      <c r="F38" s="11">
        <v>1</v>
      </c>
      <c r="I38" s="9">
        <v>461.70053269184848</v>
      </c>
      <c r="J38" s="9">
        <v>578.13740632588087</v>
      </c>
      <c r="K38" s="9">
        <v>578.13740632588087</v>
      </c>
      <c r="L38" s="10">
        <v>2382.3747486899379</v>
      </c>
      <c r="M38" s="10">
        <v>2983.189016641546</v>
      </c>
      <c r="N38" s="10">
        <v>2382.3747486899379</v>
      </c>
      <c r="P38" s="8" t="s">
        <v>83</v>
      </c>
      <c r="Q38" s="8" t="s">
        <v>99</v>
      </c>
    </row>
    <row r="39" spans="1:23" ht="35.25" customHeight="1">
      <c r="A39" s="8" t="s">
        <v>150</v>
      </c>
      <c r="B39" s="8" t="s">
        <v>151</v>
      </c>
      <c r="C39" s="8" t="s">
        <v>44</v>
      </c>
      <c r="D39" s="8" t="s">
        <v>69</v>
      </c>
      <c r="F39" s="11">
        <v>1</v>
      </c>
      <c r="I39" s="9">
        <v>413.22564303100768</v>
      </c>
      <c r="J39" s="9">
        <v>517.43756953544676</v>
      </c>
      <c r="K39" s="9">
        <v>517.43756953544676</v>
      </c>
      <c r="L39" s="10">
        <v>2132.2443180400001</v>
      </c>
      <c r="M39" s="10">
        <v>2669.9778588029048</v>
      </c>
      <c r="N39" s="10">
        <v>2132.2443180400001</v>
      </c>
      <c r="P39" s="8" t="s">
        <v>83</v>
      </c>
      <c r="Q39" s="8" t="s">
        <v>99</v>
      </c>
      <c r="S39" t="s">
        <v>74</v>
      </c>
      <c r="T39" t="s">
        <v>142</v>
      </c>
      <c r="U39" s="3">
        <v>2660.4020405419569</v>
      </c>
      <c r="V39" s="3">
        <v>2669.9778588029048</v>
      </c>
      <c r="W39" t="s">
        <v>152</v>
      </c>
    </row>
    <row r="40" spans="1:23" ht="35.25" customHeight="1">
      <c r="A40" s="8" t="s">
        <v>153</v>
      </c>
      <c r="B40" s="8" t="s">
        <v>154</v>
      </c>
      <c r="C40" s="8" t="s">
        <v>55</v>
      </c>
      <c r="D40" s="8" t="s">
        <v>56</v>
      </c>
      <c r="F40" s="11">
        <v>1</v>
      </c>
      <c r="I40" s="9">
        <v>347.82992597696591</v>
      </c>
      <c r="J40" s="9">
        <v>435.5496193049911</v>
      </c>
      <c r="K40" s="9">
        <v>435.5496193049911</v>
      </c>
      <c r="L40" s="10">
        <v>1794.8024180411439</v>
      </c>
      <c r="M40" s="10">
        <v>2247.436035613754</v>
      </c>
      <c r="N40" s="10">
        <v>1794.8024180411439</v>
      </c>
      <c r="P40" s="8" t="s">
        <v>83</v>
      </c>
      <c r="Q40" s="8" t="s">
        <v>99</v>
      </c>
    </row>
    <row r="41" spans="1:23" ht="35.25" customHeight="1">
      <c r="A41" s="8" t="s">
        <v>155</v>
      </c>
      <c r="B41" s="8" t="s">
        <v>156</v>
      </c>
      <c r="C41" s="8" t="s">
        <v>50</v>
      </c>
      <c r="D41" s="8" t="s">
        <v>50</v>
      </c>
      <c r="F41" s="11">
        <v>1</v>
      </c>
      <c r="G41" s="9">
        <v>205</v>
      </c>
      <c r="I41" s="9">
        <v>330.12204519999989</v>
      </c>
      <c r="J41" s="9">
        <v>413.37596443776607</v>
      </c>
      <c r="K41" s="9">
        <v>413.37596443776607</v>
      </c>
      <c r="L41" s="10">
        <v>1703.4297532319999</v>
      </c>
      <c r="M41" s="10">
        <v>2133.0199764988729</v>
      </c>
      <c r="P41" s="8" t="s">
        <v>46</v>
      </c>
      <c r="Q41" s="8" t="s">
        <v>99</v>
      </c>
    </row>
    <row r="42" spans="1:23" ht="35.25" customHeight="1">
      <c r="A42" s="8" t="s">
        <v>157</v>
      </c>
      <c r="B42" s="8" t="s">
        <v>158</v>
      </c>
      <c r="C42" s="8" t="s">
        <v>44</v>
      </c>
      <c r="D42" s="8" t="s">
        <v>159</v>
      </c>
      <c r="F42" s="11">
        <v>25</v>
      </c>
      <c r="G42" s="9">
        <v>8.1180000000000003</v>
      </c>
      <c r="I42" s="9">
        <v>326.82082474800001</v>
      </c>
      <c r="J42" s="9">
        <v>16.369688191735541</v>
      </c>
      <c r="K42" s="9">
        <v>409.24220479338851</v>
      </c>
      <c r="L42" s="10">
        <v>1686.39545569968</v>
      </c>
      <c r="M42" s="10">
        <v>2111.6897767338851</v>
      </c>
      <c r="P42" s="8" t="s">
        <v>46</v>
      </c>
      <c r="Q42" s="8" t="s">
        <v>99</v>
      </c>
    </row>
    <row r="43" spans="1:23" ht="35.25" customHeight="1">
      <c r="A43" s="8" t="s">
        <v>160</v>
      </c>
      <c r="B43" s="8" t="s">
        <v>161</v>
      </c>
      <c r="C43" s="8" t="s">
        <v>44</v>
      </c>
      <c r="D43" s="8" t="s">
        <v>72</v>
      </c>
      <c r="F43" s="11">
        <v>1</v>
      </c>
      <c r="G43" s="9">
        <v>171.54400000000001</v>
      </c>
      <c r="I43" s="9">
        <v>276.24612742336012</v>
      </c>
      <c r="J43" s="9">
        <v>345.91300704152269</v>
      </c>
      <c r="K43" s="9">
        <v>345.91300704152269</v>
      </c>
      <c r="L43" s="10">
        <v>1425.430017504538</v>
      </c>
      <c r="M43" s="10">
        <v>1784.911116334257</v>
      </c>
      <c r="P43" s="8" t="s">
        <v>46</v>
      </c>
      <c r="Q43" s="8" t="s">
        <v>99</v>
      </c>
    </row>
    <row r="44" spans="1:23" ht="35.25" customHeight="1">
      <c r="A44" s="8" t="s">
        <v>162</v>
      </c>
      <c r="B44" s="8" t="s">
        <v>163</v>
      </c>
      <c r="C44" s="8" t="s">
        <v>59</v>
      </c>
      <c r="D44" s="8" t="s">
        <v>93</v>
      </c>
      <c r="F44" s="11">
        <v>1</v>
      </c>
      <c r="G44" s="9">
        <v>159</v>
      </c>
      <c r="I44" s="9">
        <v>256.04587895999998</v>
      </c>
      <c r="J44" s="9">
        <v>320.61843095416981</v>
      </c>
      <c r="K44" s="9">
        <v>320.61843095416981</v>
      </c>
      <c r="L44" s="10">
        <v>1321.1967354336</v>
      </c>
      <c r="M44" s="10">
        <v>1654.3911037235159</v>
      </c>
      <c r="P44" s="8" t="s">
        <v>46</v>
      </c>
      <c r="Q44" s="8" t="s">
        <v>99</v>
      </c>
      <c r="S44" t="s">
        <v>74</v>
      </c>
      <c r="T44" t="s">
        <v>164</v>
      </c>
      <c r="U44" s="3">
        <v>1654.3911037235159</v>
      </c>
      <c r="V44" s="3">
        <v>806.5937814985939</v>
      </c>
      <c r="W44" t="s">
        <v>165</v>
      </c>
    </row>
    <row r="45" spans="1:23" ht="35.25" customHeight="1">
      <c r="A45" s="8" t="s">
        <v>166</v>
      </c>
      <c r="B45" s="8" t="s">
        <v>167</v>
      </c>
      <c r="C45" s="8" t="s">
        <v>44</v>
      </c>
      <c r="D45" s="8" t="s">
        <v>159</v>
      </c>
      <c r="F45" s="11">
        <v>2</v>
      </c>
      <c r="I45" s="9">
        <v>251.781884087561</v>
      </c>
      <c r="J45" s="9">
        <v>157.63954676155839</v>
      </c>
      <c r="K45" s="9">
        <v>315.27909352311673</v>
      </c>
      <c r="L45" s="10">
        <v>1299.1945218918149</v>
      </c>
      <c r="M45" s="10">
        <v>1626.840122579282</v>
      </c>
      <c r="N45" s="10">
        <v>649.59726094590735</v>
      </c>
      <c r="P45" s="8" t="s">
        <v>83</v>
      </c>
      <c r="Q45" s="8" t="s">
        <v>99</v>
      </c>
      <c r="S45" t="s">
        <v>141</v>
      </c>
      <c r="T45" t="s">
        <v>142</v>
      </c>
      <c r="U45" s="3">
        <v>1529.528013903132</v>
      </c>
      <c r="V45" s="3">
        <v>1626.840122579282</v>
      </c>
      <c r="W45" t="s">
        <v>168</v>
      </c>
    </row>
    <row r="46" spans="1:23" ht="35.25" customHeight="1">
      <c r="A46" s="8" t="s">
        <v>169</v>
      </c>
      <c r="B46" s="8" t="s">
        <v>170</v>
      </c>
      <c r="C46" s="8" t="s">
        <v>44</v>
      </c>
      <c r="D46" s="8" t="s">
        <v>72</v>
      </c>
      <c r="F46" s="11">
        <v>1</v>
      </c>
      <c r="I46" s="9">
        <v>248.53773451599019</v>
      </c>
      <c r="J46" s="9">
        <v>311.21679754068401</v>
      </c>
      <c r="K46" s="9">
        <v>311.21679754068401</v>
      </c>
      <c r="L46" s="10">
        <v>1282.4547101025089</v>
      </c>
      <c r="M46" s="10">
        <v>1605.8786753099289</v>
      </c>
      <c r="N46" s="10">
        <v>1282.4547101025089</v>
      </c>
      <c r="P46" s="8" t="s">
        <v>83</v>
      </c>
      <c r="Q46" s="8" t="s">
        <v>99</v>
      </c>
    </row>
    <row r="47" spans="1:23" ht="35.25" customHeight="1">
      <c r="A47" s="8" t="s">
        <v>171</v>
      </c>
      <c r="B47" s="8" t="s">
        <v>172</v>
      </c>
      <c r="C47" s="8" t="s">
        <v>44</v>
      </c>
      <c r="D47" s="8" t="s">
        <v>72</v>
      </c>
      <c r="F47" s="11">
        <v>1</v>
      </c>
      <c r="I47" s="9">
        <v>220.85663008921679</v>
      </c>
      <c r="J47" s="9">
        <v>276.55475843878878</v>
      </c>
      <c r="K47" s="9">
        <v>276.55475843878878</v>
      </c>
      <c r="L47" s="10">
        <v>1139.620211260358</v>
      </c>
      <c r="M47" s="10">
        <v>1427.02255354415</v>
      </c>
      <c r="N47" s="10">
        <v>1139.620211260358</v>
      </c>
      <c r="P47" s="8" t="s">
        <v>83</v>
      </c>
      <c r="Q47" s="8" t="s">
        <v>134</v>
      </c>
    </row>
    <row r="48" spans="1:23" ht="35.25" customHeight="1">
      <c r="A48" s="8" t="s">
        <v>173</v>
      </c>
      <c r="B48" s="8" t="s">
        <v>174</v>
      </c>
      <c r="C48" s="8" t="s">
        <v>44</v>
      </c>
      <c r="D48" s="8" t="s">
        <v>72</v>
      </c>
      <c r="F48" s="11">
        <v>1</v>
      </c>
      <c r="I48" s="9">
        <v>216.58600059302319</v>
      </c>
      <c r="J48" s="9">
        <v>271.20711318936043</v>
      </c>
      <c r="K48" s="9">
        <v>271.20711318936043</v>
      </c>
      <c r="L48" s="10">
        <v>1117.5837630599999</v>
      </c>
      <c r="M48" s="10">
        <v>1399.4287040571</v>
      </c>
      <c r="N48" s="10">
        <v>1117.5837630599999</v>
      </c>
      <c r="P48" s="8" t="s">
        <v>83</v>
      </c>
      <c r="Q48" s="8" t="s">
        <v>99</v>
      </c>
    </row>
    <row r="49" spans="1:23" ht="35.25" customHeight="1">
      <c r="A49" s="8" t="s">
        <v>175</v>
      </c>
      <c r="B49" s="8" t="s">
        <v>176</v>
      </c>
      <c r="C49" s="8" t="s">
        <v>81</v>
      </c>
      <c r="D49" s="8" t="s">
        <v>82</v>
      </c>
      <c r="F49" s="11">
        <v>16</v>
      </c>
      <c r="I49" s="9">
        <v>197.86975121147881</v>
      </c>
      <c r="J49" s="9">
        <v>15.48567424332259</v>
      </c>
      <c r="K49" s="9">
        <v>247.7707878931615</v>
      </c>
      <c r="L49" s="10">
        <v>1021.007916251231</v>
      </c>
      <c r="M49" s="10">
        <v>1278.4972655287129</v>
      </c>
      <c r="N49" s="10">
        <v>63.812994765701909</v>
      </c>
      <c r="P49" s="8" t="s">
        <v>83</v>
      </c>
      <c r="Q49" s="8" t="s">
        <v>99</v>
      </c>
    </row>
    <row r="50" spans="1:23" ht="35.25" customHeight="1">
      <c r="A50" s="8" t="s">
        <v>177</v>
      </c>
      <c r="B50" s="8" t="s">
        <v>178</v>
      </c>
      <c r="C50" s="8" t="s">
        <v>44</v>
      </c>
      <c r="D50" s="8" t="s">
        <v>72</v>
      </c>
      <c r="F50" s="11">
        <v>1</v>
      </c>
      <c r="I50" s="9">
        <v>189.07808726380659</v>
      </c>
      <c r="J50" s="9">
        <v>236.7619424790966</v>
      </c>
      <c r="K50" s="9">
        <v>236.7619424790966</v>
      </c>
      <c r="L50" s="10">
        <v>975.64293028124189</v>
      </c>
      <c r="M50" s="10">
        <v>1221.6916231921391</v>
      </c>
      <c r="N50" s="10">
        <v>975.64293028124189</v>
      </c>
      <c r="P50" s="8" t="s">
        <v>83</v>
      </c>
      <c r="Q50" s="8" t="s">
        <v>134</v>
      </c>
    </row>
    <row r="51" spans="1:23" ht="35.25" customHeight="1">
      <c r="A51" s="8" t="s">
        <v>179</v>
      </c>
      <c r="B51" s="8" t="s">
        <v>180</v>
      </c>
      <c r="C51" s="8" t="s">
        <v>81</v>
      </c>
      <c r="D51" s="8" t="s">
        <v>82</v>
      </c>
      <c r="F51" s="11">
        <v>1</v>
      </c>
      <c r="I51" s="9">
        <v>183.44022057687181</v>
      </c>
      <c r="J51" s="9">
        <v>229.7022546667566</v>
      </c>
      <c r="K51" s="9">
        <v>229.7022546667566</v>
      </c>
      <c r="L51" s="10">
        <v>946.5515381766586</v>
      </c>
      <c r="M51" s="10">
        <v>1185.263634080464</v>
      </c>
      <c r="N51" s="10">
        <v>946.5515381766586</v>
      </c>
      <c r="P51" s="8" t="s">
        <v>83</v>
      </c>
      <c r="Q51" s="8" t="s">
        <v>134</v>
      </c>
    </row>
    <row r="52" spans="1:23" ht="35.25" customHeight="1">
      <c r="A52" s="8" t="s">
        <v>181</v>
      </c>
      <c r="B52" s="8" t="s">
        <v>182</v>
      </c>
      <c r="C52" s="8" t="s">
        <v>44</v>
      </c>
      <c r="D52" s="8" t="s">
        <v>159</v>
      </c>
      <c r="F52" s="11">
        <v>3</v>
      </c>
      <c r="I52" s="9">
        <v>176.58838124844951</v>
      </c>
      <c r="J52" s="9">
        <v>73.707480277339315</v>
      </c>
      <c r="K52" s="9">
        <v>221.12244083201799</v>
      </c>
      <c r="L52" s="10">
        <v>911.19604724199962</v>
      </c>
      <c r="M52" s="10">
        <v>1140.991794693213</v>
      </c>
      <c r="N52" s="10">
        <v>303.73201574733321</v>
      </c>
      <c r="P52" s="8" t="s">
        <v>83</v>
      </c>
      <c r="Q52" s="8" t="s">
        <v>134</v>
      </c>
      <c r="S52" t="s">
        <v>141</v>
      </c>
      <c r="T52" t="s">
        <v>142</v>
      </c>
      <c r="U52" s="3">
        <v>1028.805161874616</v>
      </c>
      <c r="V52" s="3">
        <v>1140.991794693213</v>
      </c>
      <c r="W52" t="s">
        <v>183</v>
      </c>
    </row>
    <row r="53" spans="1:23" ht="35.25" customHeight="1">
      <c r="A53" s="8" t="s">
        <v>184</v>
      </c>
      <c r="B53" s="8" t="s">
        <v>185</v>
      </c>
      <c r="C53" s="8" t="s">
        <v>44</v>
      </c>
      <c r="D53" s="8" t="s">
        <v>159</v>
      </c>
      <c r="F53" s="11">
        <v>50</v>
      </c>
      <c r="I53" s="9">
        <v>174.07837173805649</v>
      </c>
      <c r="J53" s="9">
        <v>4.3595885734549578</v>
      </c>
      <c r="K53" s="9">
        <v>217.9794286727479</v>
      </c>
      <c r="L53" s="10">
        <v>898.24439816837139</v>
      </c>
      <c r="M53" s="10">
        <v>1124.7738519513789</v>
      </c>
      <c r="N53" s="10">
        <v>17.964887963367431</v>
      </c>
      <c r="P53" s="8" t="s">
        <v>83</v>
      </c>
      <c r="Q53" s="8" t="s">
        <v>99</v>
      </c>
      <c r="S53" t="s">
        <v>74</v>
      </c>
      <c r="T53" t="s">
        <v>142</v>
      </c>
      <c r="U53" s="3">
        <v>975.01722915992218</v>
      </c>
      <c r="V53" s="3">
        <v>1124.7738519513789</v>
      </c>
      <c r="W53" t="s">
        <v>186</v>
      </c>
    </row>
    <row r="54" spans="1:23" ht="35.25" customHeight="1">
      <c r="A54" s="8" t="s">
        <v>187</v>
      </c>
      <c r="B54" s="8" t="s">
        <v>188</v>
      </c>
      <c r="C54" s="8" t="s">
        <v>44</v>
      </c>
      <c r="D54" s="8" t="s">
        <v>72</v>
      </c>
      <c r="F54" s="11">
        <v>1</v>
      </c>
      <c r="I54" s="9">
        <v>155.80760902725001</v>
      </c>
      <c r="J54" s="9">
        <v>195.10093792543191</v>
      </c>
      <c r="K54" s="9">
        <v>195.10093792543191</v>
      </c>
      <c r="L54" s="10">
        <v>803.96726258060971</v>
      </c>
      <c r="M54" s="10">
        <v>1006.720839695229</v>
      </c>
      <c r="N54" s="10">
        <v>803.96726258060971</v>
      </c>
      <c r="P54" s="8" t="s">
        <v>83</v>
      </c>
      <c r="Q54" s="8" t="s">
        <v>99</v>
      </c>
    </row>
    <row r="55" spans="1:23" ht="35.25" customHeight="1">
      <c r="A55" s="8" t="s">
        <v>189</v>
      </c>
      <c r="B55" s="8" t="s">
        <v>190</v>
      </c>
      <c r="C55" s="8" t="s">
        <v>44</v>
      </c>
      <c r="D55" s="8" t="s">
        <v>69</v>
      </c>
      <c r="F55" s="11">
        <v>1</v>
      </c>
      <c r="I55" s="9">
        <v>145.18612508615831</v>
      </c>
      <c r="J55" s="9">
        <v>181.8008077712976</v>
      </c>
      <c r="K55" s="9">
        <v>181.8008077712976</v>
      </c>
      <c r="L55" s="10">
        <v>749.16040544457667</v>
      </c>
      <c r="M55" s="10">
        <v>938.09216809989573</v>
      </c>
      <c r="N55" s="10">
        <v>749.16040544457667</v>
      </c>
      <c r="P55" s="8" t="s">
        <v>83</v>
      </c>
      <c r="Q55" s="8" t="s">
        <v>99</v>
      </c>
    </row>
    <row r="56" spans="1:23" ht="35.25" customHeight="1">
      <c r="A56" s="8" t="s">
        <v>191</v>
      </c>
      <c r="B56" s="8" t="s">
        <v>192</v>
      </c>
      <c r="C56" s="8" t="s">
        <v>44</v>
      </c>
      <c r="D56" s="8" t="s">
        <v>159</v>
      </c>
      <c r="F56" s="11">
        <v>3</v>
      </c>
      <c r="G56" s="9">
        <v>29.909600000000001</v>
      </c>
      <c r="I56" s="9">
        <v>144.49490228947201</v>
      </c>
      <c r="J56" s="9">
        <v>60.311754858282001</v>
      </c>
      <c r="K56" s="9">
        <v>180.935264574846</v>
      </c>
      <c r="L56" s="10">
        <v>745.59369581367559</v>
      </c>
      <c r="M56" s="10">
        <v>933.62596520620536</v>
      </c>
      <c r="P56" s="8" t="s">
        <v>46</v>
      </c>
      <c r="Q56" s="8" t="s">
        <v>134</v>
      </c>
      <c r="S56" t="s">
        <v>141</v>
      </c>
      <c r="T56" t="s">
        <v>193</v>
      </c>
      <c r="U56" s="3">
        <v>933.62596520620536</v>
      </c>
      <c r="V56" s="3">
        <v>1034.7713499624349</v>
      </c>
      <c r="W56" t="s">
        <v>194</v>
      </c>
    </row>
    <row r="57" spans="1:23" ht="35.25" customHeight="1">
      <c r="A57" s="8" t="s">
        <v>195</v>
      </c>
      <c r="B57" s="8" t="s">
        <v>196</v>
      </c>
      <c r="C57" s="8" t="s">
        <v>44</v>
      </c>
      <c r="D57" s="8" t="s">
        <v>72</v>
      </c>
      <c r="F57" s="11">
        <v>1</v>
      </c>
      <c r="I57" s="9">
        <v>136.2375060125606</v>
      </c>
      <c r="J57" s="9">
        <v>170.59542450859081</v>
      </c>
      <c r="K57" s="9">
        <v>170.59542450859081</v>
      </c>
      <c r="L57" s="10">
        <v>702.98553102481253</v>
      </c>
      <c r="M57" s="10">
        <v>880.27239046432828</v>
      </c>
      <c r="N57" s="10">
        <v>702.98553102481253</v>
      </c>
      <c r="P57" s="8" t="s">
        <v>83</v>
      </c>
      <c r="Q57" s="8" t="s">
        <v>99</v>
      </c>
    </row>
    <row r="58" spans="1:23" ht="35.25" customHeight="1">
      <c r="A58" s="8" t="s">
        <v>197</v>
      </c>
      <c r="B58" s="8" t="s">
        <v>198</v>
      </c>
      <c r="C58" s="8" t="s">
        <v>44</v>
      </c>
      <c r="D58" s="8" t="s">
        <v>55</v>
      </c>
      <c r="F58" s="11">
        <v>1</v>
      </c>
      <c r="I58" s="9">
        <v>134.70557911076469</v>
      </c>
      <c r="J58" s="9">
        <v>168.67715891655979</v>
      </c>
      <c r="K58" s="9">
        <v>168.67715891655979</v>
      </c>
      <c r="L58" s="10">
        <v>695.08078821154572</v>
      </c>
      <c r="M58" s="10">
        <v>870.37414000944875</v>
      </c>
      <c r="N58" s="10">
        <v>695.08078821154572</v>
      </c>
      <c r="P58" s="8" t="s">
        <v>83</v>
      </c>
      <c r="Q58" s="8" t="s">
        <v>99</v>
      </c>
    </row>
    <row r="59" spans="1:23" ht="35.25" customHeight="1">
      <c r="A59" s="8" t="s">
        <v>199</v>
      </c>
      <c r="B59" s="8" t="s">
        <v>200</v>
      </c>
      <c r="C59" s="8" t="s">
        <v>44</v>
      </c>
      <c r="D59" s="8" t="s">
        <v>159</v>
      </c>
      <c r="F59" s="11">
        <v>2</v>
      </c>
      <c r="I59" s="9">
        <v>134.48545041803791</v>
      </c>
      <c r="J59" s="9">
        <v>84.200757837489306</v>
      </c>
      <c r="K59" s="9">
        <v>168.40151567497861</v>
      </c>
      <c r="L59" s="10">
        <v>693.94492415707566</v>
      </c>
      <c r="M59" s="10">
        <v>868.95182088288971</v>
      </c>
      <c r="N59" s="10">
        <v>346.97246207853777</v>
      </c>
      <c r="P59" s="8" t="s">
        <v>83</v>
      </c>
      <c r="Q59" s="8" t="s">
        <v>99</v>
      </c>
      <c r="S59" t="s">
        <v>141</v>
      </c>
      <c r="T59" t="s">
        <v>142</v>
      </c>
      <c r="U59" s="3">
        <v>814.08341889012718</v>
      </c>
      <c r="V59" s="3">
        <v>868.95182088288971</v>
      </c>
      <c r="W59" t="s">
        <v>201</v>
      </c>
    </row>
    <row r="60" spans="1:23" ht="35.25" customHeight="1">
      <c r="A60" s="8" t="s">
        <v>202</v>
      </c>
      <c r="B60" s="8" t="s">
        <v>203</v>
      </c>
      <c r="C60" s="8" t="s">
        <v>44</v>
      </c>
      <c r="D60" s="8" t="s">
        <v>72</v>
      </c>
      <c r="F60" s="11">
        <v>30</v>
      </c>
      <c r="I60" s="9">
        <v>132.57060702247381</v>
      </c>
      <c r="J60" s="9">
        <v>5.533458845582846</v>
      </c>
      <c r="K60" s="9">
        <v>166.00376536748541</v>
      </c>
      <c r="L60" s="10">
        <v>684.06433223596491</v>
      </c>
      <c r="M60" s="10">
        <v>856.57942929622459</v>
      </c>
      <c r="N60" s="10">
        <v>22.802144407865502</v>
      </c>
      <c r="P60" s="8" t="s">
        <v>83</v>
      </c>
      <c r="Q60" s="8" t="s">
        <v>99</v>
      </c>
      <c r="S60" t="s">
        <v>141</v>
      </c>
      <c r="T60" t="s">
        <v>142</v>
      </c>
      <c r="U60" s="3">
        <v>1332.5383396793729</v>
      </c>
      <c r="V60" s="3">
        <v>856.57942929622459</v>
      </c>
      <c r="W60" t="s">
        <v>204</v>
      </c>
    </row>
    <row r="61" spans="1:23" ht="35.25" customHeight="1">
      <c r="A61" s="8" t="s">
        <v>205</v>
      </c>
      <c r="B61" s="8" t="s">
        <v>206</v>
      </c>
      <c r="C61" s="8" t="s">
        <v>55</v>
      </c>
      <c r="D61" s="8" t="s">
        <v>207</v>
      </c>
      <c r="F61" s="11">
        <v>1</v>
      </c>
      <c r="I61" s="9">
        <v>132.25867186575169</v>
      </c>
      <c r="J61" s="9">
        <v>165.61316286720719</v>
      </c>
      <c r="K61" s="9">
        <v>165.61316286720719</v>
      </c>
      <c r="L61" s="10">
        <v>682.45474682727877</v>
      </c>
      <c r="M61" s="10">
        <v>854.56392039478931</v>
      </c>
      <c r="N61" s="10">
        <v>682.45474682727877</v>
      </c>
      <c r="P61" s="8" t="s">
        <v>83</v>
      </c>
      <c r="Q61" s="8" t="s">
        <v>99</v>
      </c>
    </row>
    <row r="62" spans="1:23" ht="35.25" customHeight="1">
      <c r="A62" s="8" t="s">
        <v>208</v>
      </c>
      <c r="B62" s="8" t="s">
        <v>209</v>
      </c>
      <c r="C62" s="8" t="s">
        <v>44</v>
      </c>
      <c r="D62" s="8" t="s">
        <v>159</v>
      </c>
      <c r="F62" s="11">
        <v>1</v>
      </c>
      <c r="G62" s="9">
        <v>79.83</v>
      </c>
      <c r="I62" s="9">
        <v>128.55435545520001</v>
      </c>
      <c r="J62" s="9">
        <v>160.9746499564238</v>
      </c>
      <c r="K62" s="9">
        <v>160.9746499564238</v>
      </c>
      <c r="L62" s="10">
        <v>663.34047414883207</v>
      </c>
      <c r="M62" s="10">
        <v>830.62919377514675</v>
      </c>
      <c r="P62" s="8" t="s">
        <v>46</v>
      </c>
      <c r="Q62" s="8" t="s">
        <v>99</v>
      </c>
      <c r="S62" t="s">
        <v>141</v>
      </c>
      <c r="T62" t="s">
        <v>75</v>
      </c>
      <c r="U62" s="3">
        <v>830.62919377514675</v>
      </c>
      <c r="V62" s="3">
        <v>836.61643478045482</v>
      </c>
      <c r="W62" t="s">
        <v>210</v>
      </c>
    </row>
    <row r="63" spans="1:23" ht="35.25" customHeight="1">
      <c r="A63" s="8" t="s">
        <v>211</v>
      </c>
      <c r="B63" s="8" t="s">
        <v>212</v>
      </c>
      <c r="C63" s="8" t="s">
        <v>44</v>
      </c>
      <c r="D63" s="8" t="s">
        <v>159</v>
      </c>
      <c r="F63" s="11">
        <v>1</v>
      </c>
      <c r="I63" s="9">
        <v>121.26151429639241</v>
      </c>
      <c r="J63" s="9">
        <v>151.84261745102989</v>
      </c>
      <c r="K63" s="9">
        <v>151.84261745102989</v>
      </c>
      <c r="L63" s="10">
        <v>625.70941376938504</v>
      </c>
      <c r="M63" s="10">
        <v>783.50790604731412</v>
      </c>
      <c r="N63" s="10">
        <v>625.70941376938504</v>
      </c>
      <c r="P63" s="8" t="s">
        <v>83</v>
      </c>
      <c r="Q63" s="8" t="s">
        <v>99</v>
      </c>
      <c r="S63" t="s">
        <v>141</v>
      </c>
      <c r="T63" t="s">
        <v>142</v>
      </c>
      <c r="U63" s="3">
        <v>702.01339120586476</v>
      </c>
      <c r="V63" s="3">
        <v>783.50790604731412</v>
      </c>
      <c r="W63" t="s">
        <v>213</v>
      </c>
    </row>
    <row r="64" spans="1:23" ht="35.25" customHeight="1">
      <c r="A64" s="8" t="s">
        <v>214</v>
      </c>
      <c r="B64" s="8" t="s">
        <v>215</v>
      </c>
      <c r="C64" s="8" t="s">
        <v>44</v>
      </c>
      <c r="D64" s="8" t="s">
        <v>159</v>
      </c>
      <c r="F64" s="11">
        <v>3</v>
      </c>
      <c r="G64" s="9">
        <v>24.1998</v>
      </c>
      <c r="I64" s="9">
        <v>116.91054833313601</v>
      </c>
      <c r="J64" s="9">
        <v>48.798125191224649</v>
      </c>
      <c r="K64" s="9">
        <v>146.39437557367401</v>
      </c>
      <c r="L64" s="10">
        <v>603.25842939898178</v>
      </c>
      <c r="M64" s="10">
        <v>755.39497796015758</v>
      </c>
      <c r="P64" s="8" t="s">
        <v>46</v>
      </c>
      <c r="Q64" s="8" t="s">
        <v>99</v>
      </c>
      <c r="S64" t="s">
        <v>141</v>
      </c>
      <c r="T64" t="s">
        <v>193</v>
      </c>
      <c r="U64" s="3">
        <v>755.39497796015758</v>
      </c>
      <c r="V64" s="3">
        <v>1034.7713499624349</v>
      </c>
      <c r="W64" t="s">
        <v>216</v>
      </c>
    </row>
    <row r="65" spans="1:23" ht="35.25" customHeight="1">
      <c r="A65" s="8" t="s">
        <v>217</v>
      </c>
      <c r="B65" s="8" t="s">
        <v>218</v>
      </c>
      <c r="C65" s="8" t="s">
        <v>44</v>
      </c>
      <c r="D65" s="8" t="s">
        <v>72</v>
      </c>
      <c r="F65" s="11">
        <v>1</v>
      </c>
      <c r="G65" s="9">
        <v>72.41</v>
      </c>
      <c r="I65" s="9">
        <v>116.60554777039999</v>
      </c>
      <c r="J65" s="9">
        <v>146.01245651189581</v>
      </c>
      <c r="K65" s="9">
        <v>146.01245651189581</v>
      </c>
      <c r="L65" s="10">
        <v>601.68462649526407</v>
      </c>
      <c r="M65" s="10">
        <v>753.42427560138253</v>
      </c>
      <c r="P65" s="8" t="s">
        <v>46</v>
      </c>
      <c r="Q65" s="8" t="s">
        <v>134</v>
      </c>
      <c r="S65" t="s">
        <v>141</v>
      </c>
      <c r="T65" t="s">
        <v>219</v>
      </c>
      <c r="U65" s="3">
        <v>753.42427560138253</v>
      </c>
      <c r="V65" s="3">
        <v>166.36614074630609</v>
      </c>
      <c r="W65" t="s">
        <v>220</v>
      </c>
    </row>
    <row r="66" spans="1:23" ht="35.25" customHeight="1">
      <c r="A66" s="8" t="s">
        <v>221</v>
      </c>
      <c r="B66" s="8" t="s">
        <v>222</v>
      </c>
      <c r="C66" s="8" t="s">
        <v>44</v>
      </c>
      <c r="D66" s="8" t="s">
        <v>69</v>
      </c>
      <c r="F66" s="11">
        <v>1</v>
      </c>
      <c r="G66" s="9">
        <v>71.94</v>
      </c>
      <c r="I66" s="9">
        <v>115.8486825936</v>
      </c>
      <c r="J66" s="9">
        <v>145.06471649586771</v>
      </c>
      <c r="K66" s="9">
        <v>145.06471649586771</v>
      </c>
      <c r="L66" s="10">
        <v>597.77920218297595</v>
      </c>
      <c r="M66" s="10">
        <v>748.53393711867761</v>
      </c>
      <c r="P66" s="8" t="s">
        <v>46</v>
      </c>
      <c r="Q66" s="8" t="s">
        <v>99</v>
      </c>
      <c r="S66" t="s">
        <v>74</v>
      </c>
      <c r="T66" t="s">
        <v>223</v>
      </c>
      <c r="U66" s="3">
        <v>748.53393711867761</v>
      </c>
      <c r="V66" s="3">
        <v>1134.2710994239919</v>
      </c>
      <c r="W66" t="s">
        <v>224</v>
      </c>
    </row>
    <row r="67" spans="1:23" ht="35.25" customHeight="1">
      <c r="A67" s="8" t="s">
        <v>225</v>
      </c>
      <c r="B67" s="8" t="s">
        <v>226</v>
      </c>
      <c r="C67" s="8" t="s">
        <v>44</v>
      </c>
      <c r="D67" s="8" t="s">
        <v>69</v>
      </c>
      <c r="F67" s="11">
        <v>1</v>
      </c>
      <c r="G67" s="9">
        <v>71.94</v>
      </c>
      <c r="I67" s="9">
        <v>115.8486825936</v>
      </c>
      <c r="J67" s="9">
        <v>145.06471649586771</v>
      </c>
      <c r="K67" s="9">
        <v>145.06471649586771</v>
      </c>
      <c r="L67" s="10">
        <v>597.77920218297595</v>
      </c>
      <c r="M67" s="10">
        <v>748.53393711867761</v>
      </c>
      <c r="P67" s="8" t="s">
        <v>46</v>
      </c>
      <c r="Q67" s="8" t="s">
        <v>99</v>
      </c>
      <c r="S67" t="s">
        <v>74</v>
      </c>
      <c r="T67" t="s">
        <v>223</v>
      </c>
      <c r="U67" s="3">
        <v>748.53393711867761</v>
      </c>
      <c r="V67" s="3">
        <v>1134.2710994239919</v>
      </c>
      <c r="W67" t="s">
        <v>224</v>
      </c>
    </row>
    <row r="68" spans="1:23" ht="35.25" customHeight="1">
      <c r="A68" s="8" t="s">
        <v>227</v>
      </c>
      <c r="B68" s="8" t="s">
        <v>228</v>
      </c>
      <c r="C68" s="8" t="s">
        <v>44</v>
      </c>
      <c r="D68" s="8" t="s">
        <v>159</v>
      </c>
      <c r="F68" s="11">
        <v>3</v>
      </c>
      <c r="G68" s="9">
        <v>23.9499</v>
      </c>
      <c r="I68" s="9">
        <v>115.703267858568</v>
      </c>
      <c r="J68" s="9">
        <v>48.294209808234413</v>
      </c>
      <c r="K68" s="9">
        <v>144.8826294247032</v>
      </c>
      <c r="L68" s="10">
        <v>597.02886215021078</v>
      </c>
      <c r="M68" s="10">
        <v>747.59436783146862</v>
      </c>
      <c r="P68" s="8" t="s">
        <v>46</v>
      </c>
      <c r="Q68" s="8" t="s">
        <v>99</v>
      </c>
      <c r="S68" t="s">
        <v>141</v>
      </c>
      <c r="T68" t="s">
        <v>229</v>
      </c>
      <c r="U68" s="3">
        <v>747.59436783146862</v>
      </c>
      <c r="V68" s="3">
        <v>427.83383510987989</v>
      </c>
      <c r="W68" t="s">
        <v>230</v>
      </c>
    </row>
    <row r="69" spans="1:23" ht="35.25" customHeight="1">
      <c r="A69" s="8" t="s">
        <v>231</v>
      </c>
      <c r="B69" s="8" t="s">
        <v>232</v>
      </c>
      <c r="C69" s="8" t="s">
        <v>81</v>
      </c>
      <c r="D69" s="8" t="s">
        <v>233</v>
      </c>
      <c r="F69" s="11">
        <v>1</v>
      </c>
      <c r="I69" s="9">
        <v>109.60595602457281</v>
      </c>
      <c r="J69" s="9">
        <v>137.24762838038171</v>
      </c>
      <c r="K69" s="9">
        <v>137.24762838038171</v>
      </c>
      <c r="L69" s="10">
        <v>565.56673308679592</v>
      </c>
      <c r="M69" s="10">
        <v>708.19776244276977</v>
      </c>
      <c r="N69" s="10">
        <v>565.56673308679592</v>
      </c>
      <c r="P69" s="8" t="s">
        <v>83</v>
      </c>
      <c r="Q69" s="8" t="s">
        <v>99</v>
      </c>
    </row>
    <row r="70" spans="1:23" ht="35.25" customHeight="1">
      <c r="A70" s="8" t="s">
        <v>234</v>
      </c>
      <c r="B70" s="8" t="s">
        <v>235</v>
      </c>
      <c r="C70" s="8" t="s">
        <v>81</v>
      </c>
      <c r="D70" s="8" t="s">
        <v>82</v>
      </c>
      <c r="F70" s="11">
        <v>1</v>
      </c>
      <c r="I70" s="9">
        <v>105.17654160191481</v>
      </c>
      <c r="J70" s="9">
        <v>131.70115402193201</v>
      </c>
      <c r="K70" s="9">
        <v>131.70115402193201</v>
      </c>
      <c r="L70" s="10">
        <v>542.71095466588065</v>
      </c>
      <c r="M70" s="10">
        <v>679.57795475316891</v>
      </c>
      <c r="N70" s="10">
        <v>542.71095466588065</v>
      </c>
      <c r="P70" s="8" t="s">
        <v>83</v>
      </c>
      <c r="Q70" s="8" t="s">
        <v>99</v>
      </c>
    </row>
    <row r="71" spans="1:23" ht="35.25" customHeight="1">
      <c r="A71" s="8" t="s">
        <v>236</v>
      </c>
      <c r="B71" s="8" t="s">
        <v>237</v>
      </c>
      <c r="C71" s="8" t="s">
        <v>44</v>
      </c>
      <c r="D71" s="8" t="s">
        <v>69</v>
      </c>
      <c r="F71" s="11">
        <v>1</v>
      </c>
      <c r="I71" s="9">
        <v>102.8519707569962</v>
      </c>
      <c r="J71" s="9">
        <v>128.79034655271241</v>
      </c>
      <c r="K71" s="9">
        <v>128.79034655271241</v>
      </c>
      <c r="L71" s="10">
        <v>530.71616910610021</v>
      </c>
      <c r="M71" s="10">
        <v>664.55818821199625</v>
      </c>
      <c r="N71" s="10">
        <v>530.71616910610021</v>
      </c>
      <c r="P71" s="8" t="s">
        <v>83</v>
      </c>
      <c r="Q71" s="8" t="s">
        <v>99</v>
      </c>
    </row>
    <row r="72" spans="1:23" ht="35.25" customHeight="1">
      <c r="A72" s="8" t="s">
        <v>238</v>
      </c>
      <c r="B72" s="8" t="s">
        <v>239</v>
      </c>
      <c r="C72" s="8" t="s">
        <v>44</v>
      </c>
      <c r="D72" s="8" t="s">
        <v>159</v>
      </c>
      <c r="F72" s="11">
        <v>3</v>
      </c>
      <c r="G72" s="9">
        <v>21.219799999999999</v>
      </c>
      <c r="I72" s="9">
        <v>102.51400645953601</v>
      </c>
      <c r="J72" s="9">
        <v>42.789050195982973</v>
      </c>
      <c r="K72" s="9">
        <v>128.36715058794891</v>
      </c>
      <c r="L72" s="10">
        <v>528.97227333120577</v>
      </c>
      <c r="M72" s="10">
        <v>662.3744970338164</v>
      </c>
      <c r="P72" s="8" t="s">
        <v>46</v>
      </c>
      <c r="Q72" s="8" t="s">
        <v>99</v>
      </c>
      <c r="S72" t="s">
        <v>141</v>
      </c>
      <c r="T72" t="s">
        <v>240</v>
      </c>
      <c r="U72" s="3">
        <v>662.3744970338164</v>
      </c>
      <c r="V72" s="3">
        <v>1034.7713499624349</v>
      </c>
      <c r="W72" t="s">
        <v>241</v>
      </c>
    </row>
    <row r="73" spans="1:23" ht="35.25" customHeight="1">
      <c r="A73" s="8" t="s">
        <v>242</v>
      </c>
      <c r="B73" s="8" t="s">
        <v>243</v>
      </c>
      <c r="C73" s="8" t="s">
        <v>50</v>
      </c>
      <c r="D73" s="8" t="s">
        <v>50</v>
      </c>
      <c r="F73" s="11">
        <v>1</v>
      </c>
      <c r="G73" s="9">
        <v>59.75</v>
      </c>
      <c r="I73" s="9">
        <v>96.218498539999999</v>
      </c>
      <c r="J73" s="9">
        <v>120.48397012271479</v>
      </c>
      <c r="K73" s="9">
        <v>120.48397012271479</v>
      </c>
      <c r="L73" s="10">
        <v>496.48745246639999</v>
      </c>
      <c r="M73" s="10">
        <v>621.69728583320818</v>
      </c>
      <c r="P73" s="8" t="s">
        <v>46</v>
      </c>
      <c r="Q73" s="8" t="s">
        <v>99</v>
      </c>
    </row>
    <row r="74" spans="1:23" ht="35.25" customHeight="1">
      <c r="A74" s="8" t="s">
        <v>244</v>
      </c>
      <c r="B74" s="8" t="s">
        <v>245</v>
      </c>
      <c r="C74" s="8" t="s">
        <v>44</v>
      </c>
      <c r="D74" s="8" t="s">
        <v>159</v>
      </c>
      <c r="F74" s="11">
        <v>3</v>
      </c>
      <c r="G74" s="9">
        <v>19.670000000000002</v>
      </c>
      <c r="I74" s="9">
        <v>95.026838474400023</v>
      </c>
      <c r="J74" s="9">
        <v>39.663927904833457</v>
      </c>
      <c r="K74" s="9">
        <v>118.9917837145004</v>
      </c>
      <c r="L74" s="10">
        <v>490.33848652790408</v>
      </c>
      <c r="M74" s="10">
        <v>613.99760396682211</v>
      </c>
      <c r="P74" s="8" t="s">
        <v>46</v>
      </c>
      <c r="Q74" s="8" t="s">
        <v>246</v>
      </c>
      <c r="S74" t="s">
        <v>141</v>
      </c>
      <c r="T74" t="s">
        <v>229</v>
      </c>
      <c r="U74" s="3">
        <v>613.99760396682211</v>
      </c>
      <c r="V74" s="3">
        <v>427.83383510987989</v>
      </c>
      <c r="W74" t="s">
        <v>247</v>
      </c>
    </row>
    <row r="75" spans="1:23" ht="35.25" customHeight="1">
      <c r="A75" s="8" t="s">
        <v>248</v>
      </c>
      <c r="B75" s="8" t="s">
        <v>249</v>
      </c>
      <c r="C75" s="8" t="s">
        <v>44</v>
      </c>
      <c r="D75" s="8" t="s">
        <v>159</v>
      </c>
      <c r="F75" s="11">
        <v>3</v>
      </c>
      <c r="G75" s="9">
        <v>19.557400000000001</v>
      </c>
      <c r="I75" s="9">
        <v>94.48286175796801</v>
      </c>
      <c r="J75" s="9">
        <v>39.436873594610567</v>
      </c>
      <c r="K75" s="9">
        <v>118.31062078383169</v>
      </c>
      <c r="L75" s="10">
        <v>487.53156667111489</v>
      </c>
      <c r="M75" s="10">
        <v>610.48280324457176</v>
      </c>
      <c r="P75" s="8" t="s">
        <v>46</v>
      </c>
      <c r="Q75" s="8" t="s">
        <v>246</v>
      </c>
      <c r="S75" t="s">
        <v>141</v>
      </c>
      <c r="T75" t="s">
        <v>193</v>
      </c>
      <c r="U75" s="3">
        <v>610.48280324457176</v>
      </c>
      <c r="V75" s="3">
        <v>1034.7713499624349</v>
      </c>
      <c r="W75" t="s">
        <v>250</v>
      </c>
    </row>
    <row r="76" spans="1:23" ht="35.25" customHeight="1">
      <c r="A76" s="8" t="s">
        <v>251</v>
      </c>
      <c r="B76" s="8" t="s">
        <v>252</v>
      </c>
      <c r="C76" s="8" t="s">
        <v>63</v>
      </c>
      <c r="D76" s="8" t="s">
        <v>64</v>
      </c>
      <c r="F76" s="11">
        <v>1</v>
      </c>
      <c r="I76" s="9">
        <v>93.106140422480621</v>
      </c>
      <c r="J76" s="9">
        <v>116.5867022570506</v>
      </c>
      <c r="K76" s="9">
        <v>116.5867022570506</v>
      </c>
      <c r="L76" s="10">
        <v>480.42768458</v>
      </c>
      <c r="M76" s="10">
        <v>601.58738364638123</v>
      </c>
      <c r="N76" s="10">
        <v>480.42768458</v>
      </c>
      <c r="P76" s="8" t="s">
        <v>83</v>
      </c>
      <c r="Q76" s="8" t="s">
        <v>246</v>
      </c>
      <c r="S76" t="s">
        <v>141</v>
      </c>
      <c r="T76" t="s">
        <v>142</v>
      </c>
      <c r="U76" s="3">
        <v>927.42171356139181</v>
      </c>
      <c r="V76" s="3">
        <v>601.58738364638123</v>
      </c>
      <c r="W76" t="s">
        <v>253</v>
      </c>
    </row>
    <row r="77" spans="1:23" ht="35.25" customHeight="1">
      <c r="A77" s="8" t="s">
        <v>254</v>
      </c>
      <c r="B77" s="8" t="s">
        <v>255</v>
      </c>
      <c r="C77" s="8" t="s">
        <v>44</v>
      </c>
      <c r="D77" s="8" t="s">
        <v>159</v>
      </c>
      <c r="F77" s="11">
        <v>3</v>
      </c>
      <c r="G77" s="9">
        <v>19.172999999999998</v>
      </c>
      <c r="I77" s="9">
        <v>92.625804477359992</v>
      </c>
      <c r="J77" s="9">
        <v>38.661743249586777</v>
      </c>
      <c r="K77" s="9">
        <v>115.9852297487603</v>
      </c>
      <c r="L77" s="10">
        <v>477.9491511031776</v>
      </c>
      <c r="M77" s="10">
        <v>598.48378550360337</v>
      </c>
      <c r="P77" s="8" t="s">
        <v>46</v>
      </c>
      <c r="Q77" s="8" t="s">
        <v>99</v>
      </c>
      <c r="S77" t="s">
        <v>141</v>
      </c>
      <c r="T77" t="s">
        <v>240</v>
      </c>
      <c r="U77" s="3">
        <v>598.48378550360337</v>
      </c>
      <c r="V77" s="3">
        <v>1034.7713499624349</v>
      </c>
      <c r="W77" t="s">
        <v>256</v>
      </c>
    </row>
    <row r="78" spans="1:23" ht="35.25" customHeight="1">
      <c r="A78" s="8" t="s">
        <v>257</v>
      </c>
      <c r="B78" s="8" t="s">
        <v>258</v>
      </c>
      <c r="C78" s="8" t="s">
        <v>44</v>
      </c>
      <c r="D78" s="8" t="s">
        <v>159</v>
      </c>
      <c r="F78" s="11">
        <v>1</v>
      </c>
      <c r="I78" s="9">
        <v>91.64981107503634</v>
      </c>
      <c r="J78" s="9">
        <v>114.7630992675136</v>
      </c>
      <c r="K78" s="9">
        <v>114.7630992675136</v>
      </c>
      <c r="L78" s="10">
        <v>472.91302514718751</v>
      </c>
      <c r="M78" s="10">
        <v>592.17759222037012</v>
      </c>
      <c r="N78" s="10">
        <v>472.91302514718751</v>
      </c>
      <c r="P78" s="8" t="s">
        <v>83</v>
      </c>
      <c r="Q78" s="8" t="s">
        <v>134</v>
      </c>
      <c r="S78" t="s">
        <v>141</v>
      </c>
      <c r="T78" t="s">
        <v>142</v>
      </c>
      <c r="U78" s="3">
        <v>613.88757361291243</v>
      </c>
      <c r="V78" s="3">
        <v>592.17759222037012</v>
      </c>
      <c r="W78" t="s">
        <v>259</v>
      </c>
    </row>
    <row r="79" spans="1:23" ht="35.25" customHeight="1">
      <c r="A79" s="8" t="s">
        <v>260</v>
      </c>
      <c r="B79" s="8" t="s">
        <v>261</v>
      </c>
      <c r="C79" s="8" t="s">
        <v>44</v>
      </c>
      <c r="D79" s="8" t="s">
        <v>159</v>
      </c>
      <c r="F79" s="11">
        <v>3</v>
      </c>
      <c r="G79" s="9">
        <v>18.935700000000001</v>
      </c>
      <c r="I79" s="9">
        <v>91.479395287224008</v>
      </c>
      <c r="J79" s="9">
        <v>38.183235364898572</v>
      </c>
      <c r="K79" s="9">
        <v>114.54970609469569</v>
      </c>
      <c r="L79" s="10">
        <v>472.0336796820759</v>
      </c>
      <c r="M79" s="10">
        <v>591.07648344862992</v>
      </c>
      <c r="P79" s="8" t="s">
        <v>46</v>
      </c>
      <c r="Q79" s="8" t="s">
        <v>246</v>
      </c>
      <c r="S79" t="s">
        <v>141</v>
      </c>
      <c r="T79" t="s">
        <v>229</v>
      </c>
      <c r="U79" s="3">
        <v>591.07648344862992</v>
      </c>
      <c r="V79" s="3">
        <v>427.83383510987989</v>
      </c>
      <c r="W79" t="s">
        <v>262</v>
      </c>
    </row>
    <row r="80" spans="1:23" ht="35.25" customHeight="1">
      <c r="A80" s="8" t="s">
        <v>263</v>
      </c>
      <c r="B80" s="8" t="s">
        <v>264</v>
      </c>
      <c r="C80" s="8" t="s">
        <v>63</v>
      </c>
      <c r="D80" s="8" t="s">
        <v>64</v>
      </c>
      <c r="F80" s="11">
        <v>1</v>
      </c>
      <c r="I80" s="9">
        <v>88.371988344961238</v>
      </c>
      <c r="J80" s="9">
        <v>110.6586380477852</v>
      </c>
      <c r="K80" s="9">
        <v>110.6586380477852</v>
      </c>
      <c r="L80" s="10">
        <v>455.99945986</v>
      </c>
      <c r="M80" s="10">
        <v>570.99857232657155</v>
      </c>
      <c r="N80" s="10">
        <v>455.99945986</v>
      </c>
      <c r="P80" s="8" t="s">
        <v>83</v>
      </c>
      <c r="Q80" s="8" t="s">
        <v>246</v>
      </c>
      <c r="S80" t="s">
        <v>141</v>
      </c>
      <c r="T80" t="s">
        <v>142</v>
      </c>
      <c r="U80" s="3">
        <v>598.30248559145468</v>
      </c>
      <c r="V80" s="3">
        <v>570.99857232657155</v>
      </c>
      <c r="W80" t="s">
        <v>265</v>
      </c>
    </row>
    <row r="81" spans="1:23" ht="35.25" customHeight="1">
      <c r="A81" s="8" t="s">
        <v>266</v>
      </c>
      <c r="B81" s="8" t="s">
        <v>267</v>
      </c>
      <c r="C81" s="8" t="s">
        <v>81</v>
      </c>
      <c r="D81" s="8" t="s">
        <v>82</v>
      </c>
      <c r="F81" s="11">
        <v>6</v>
      </c>
      <c r="I81" s="9">
        <v>87.928279061166279</v>
      </c>
      <c r="J81" s="9">
        <v>18.35050485457181</v>
      </c>
      <c r="K81" s="9">
        <v>110.1030291274309</v>
      </c>
      <c r="L81" s="10">
        <v>453.70991995561798</v>
      </c>
      <c r="M81" s="10">
        <v>568.13163029754332</v>
      </c>
      <c r="N81" s="10">
        <v>75.618319992603006</v>
      </c>
      <c r="P81" s="8" t="s">
        <v>83</v>
      </c>
      <c r="Q81" s="8" t="s">
        <v>246</v>
      </c>
      <c r="S81" t="s">
        <v>268</v>
      </c>
      <c r="T81" t="s">
        <v>142</v>
      </c>
      <c r="U81" s="3">
        <v>603.56096115498133</v>
      </c>
      <c r="V81" s="3">
        <v>568.13163029754332</v>
      </c>
      <c r="W81" t="s">
        <v>269</v>
      </c>
    </row>
    <row r="82" spans="1:23" ht="35.25" customHeight="1">
      <c r="A82" s="8" t="s">
        <v>270</v>
      </c>
      <c r="B82" s="8" t="s">
        <v>271</v>
      </c>
      <c r="C82" s="8" t="s">
        <v>44</v>
      </c>
      <c r="D82" s="8" t="s">
        <v>102</v>
      </c>
      <c r="F82" s="11">
        <v>1</v>
      </c>
      <c r="I82" s="9">
        <v>85.98616356917438</v>
      </c>
      <c r="J82" s="9">
        <v>107.67112893710789</v>
      </c>
      <c r="K82" s="9">
        <v>107.67112893710789</v>
      </c>
      <c r="L82" s="10">
        <v>443.68860401693979</v>
      </c>
      <c r="M82" s="10">
        <v>555.5830253154769</v>
      </c>
      <c r="N82" s="10">
        <v>443.68860401693979</v>
      </c>
      <c r="P82" s="8" t="s">
        <v>83</v>
      </c>
      <c r="Q82" s="8" t="s">
        <v>246</v>
      </c>
      <c r="S82" t="s">
        <v>268</v>
      </c>
      <c r="T82" t="s">
        <v>142</v>
      </c>
      <c r="U82" s="3">
        <v>552.47524581539324</v>
      </c>
      <c r="V82" s="3">
        <v>555.5830253154769</v>
      </c>
      <c r="W82" t="s">
        <v>272</v>
      </c>
    </row>
    <row r="83" spans="1:23" ht="35.25" customHeight="1">
      <c r="A83" s="8" t="s">
        <v>273</v>
      </c>
      <c r="B83" s="8" t="s">
        <v>274</v>
      </c>
      <c r="C83" s="8" t="s">
        <v>44</v>
      </c>
      <c r="D83" s="8" t="s">
        <v>102</v>
      </c>
      <c r="F83" s="11">
        <v>1</v>
      </c>
      <c r="I83" s="9">
        <v>82.773449953198821</v>
      </c>
      <c r="J83" s="9">
        <v>103.64819678587379</v>
      </c>
      <c r="K83" s="9">
        <v>103.64819678587379</v>
      </c>
      <c r="L83" s="10">
        <v>427.11100175850589</v>
      </c>
      <c r="M83" s="10">
        <v>534.82469541510875</v>
      </c>
      <c r="N83" s="10">
        <v>427.11100175850589</v>
      </c>
      <c r="P83" s="8" t="s">
        <v>83</v>
      </c>
      <c r="Q83" s="8" t="s">
        <v>246</v>
      </c>
      <c r="S83" t="s">
        <v>268</v>
      </c>
      <c r="T83" t="s">
        <v>142</v>
      </c>
      <c r="U83" s="3">
        <v>643.03503146738217</v>
      </c>
      <c r="V83" s="3">
        <v>534.82469541510875</v>
      </c>
      <c r="W83" t="s">
        <v>275</v>
      </c>
    </row>
    <row r="84" spans="1:23" ht="35.25" customHeight="1">
      <c r="A84" s="8" t="s">
        <v>276</v>
      </c>
      <c r="B84" s="8" t="s">
        <v>277</v>
      </c>
      <c r="C84" s="8" t="s">
        <v>44</v>
      </c>
      <c r="D84" s="8" t="s">
        <v>159</v>
      </c>
      <c r="F84" s="11">
        <v>1</v>
      </c>
      <c r="I84" s="9">
        <v>79.83620038759689</v>
      </c>
      <c r="J84" s="9">
        <v>99.970198331576384</v>
      </c>
      <c r="K84" s="9">
        <v>99.970198331576384</v>
      </c>
      <c r="L84" s="10">
        <v>411.95479399999999</v>
      </c>
      <c r="M84" s="10">
        <v>515.84622339093414</v>
      </c>
      <c r="N84" s="10">
        <v>411.95479399999999</v>
      </c>
      <c r="P84" s="8" t="s">
        <v>83</v>
      </c>
      <c r="Q84" s="8" t="s">
        <v>99</v>
      </c>
      <c r="S84" t="s">
        <v>141</v>
      </c>
      <c r="T84" t="s">
        <v>142</v>
      </c>
      <c r="U84" s="3">
        <v>582.40181013932761</v>
      </c>
      <c r="V84" s="3">
        <v>515.84622339093414</v>
      </c>
      <c r="W84" t="s">
        <v>278</v>
      </c>
    </row>
    <row r="85" spans="1:23" ht="35.25" customHeight="1">
      <c r="A85" s="8" t="s">
        <v>279</v>
      </c>
      <c r="B85" s="8" t="s">
        <v>280</v>
      </c>
      <c r="C85" s="8" t="s">
        <v>44</v>
      </c>
      <c r="D85" s="8" t="s">
        <v>72</v>
      </c>
      <c r="F85" s="11">
        <v>1</v>
      </c>
      <c r="I85" s="9">
        <v>77.094337578918982</v>
      </c>
      <c r="J85" s="9">
        <v>96.536861481240905</v>
      </c>
      <c r="K85" s="9">
        <v>96.536861481240905</v>
      </c>
      <c r="L85" s="10">
        <v>397.80678190722188</v>
      </c>
      <c r="M85" s="10">
        <v>498.13020524320308</v>
      </c>
      <c r="N85" s="10">
        <v>397.80678190722188</v>
      </c>
      <c r="P85" s="8" t="s">
        <v>83</v>
      </c>
      <c r="Q85" s="8" t="s">
        <v>99</v>
      </c>
    </row>
    <row r="86" spans="1:23" ht="35.25" customHeight="1">
      <c r="A86" s="8" t="s">
        <v>281</v>
      </c>
      <c r="B86" s="8" t="s">
        <v>282</v>
      </c>
      <c r="C86" s="8" t="s">
        <v>63</v>
      </c>
      <c r="D86" s="8" t="s">
        <v>64</v>
      </c>
      <c r="F86" s="11">
        <v>1</v>
      </c>
      <c r="I86" s="9">
        <v>74.912105403100767</v>
      </c>
      <c r="J86" s="9">
        <v>93.804289260081106</v>
      </c>
      <c r="K86" s="9">
        <v>93.804289260081106</v>
      </c>
      <c r="L86" s="10">
        <v>386.54646387999998</v>
      </c>
      <c r="M86" s="10">
        <v>484.0301325820185</v>
      </c>
      <c r="N86" s="10">
        <v>386.54646387999998</v>
      </c>
      <c r="P86" s="8" t="s">
        <v>83</v>
      </c>
      <c r="Q86" s="8" t="s">
        <v>99</v>
      </c>
      <c r="S86" t="s">
        <v>141</v>
      </c>
      <c r="T86" t="s">
        <v>142</v>
      </c>
      <c r="U86" s="3">
        <v>534.28754770163471</v>
      </c>
      <c r="V86" s="3">
        <v>484.0301325820185</v>
      </c>
      <c r="W86" t="s">
        <v>283</v>
      </c>
    </row>
    <row r="87" spans="1:23" ht="35.25" customHeight="1">
      <c r="A87" s="8" t="s">
        <v>284</v>
      </c>
      <c r="B87" s="8" t="s">
        <v>285</v>
      </c>
      <c r="C87" s="8" t="s">
        <v>44</v>
      </c>
      <c r="D87" s="8" t="s">
        <v>159</v>
      </c>
      <c r="F87" s="11">
        <v>3</v>
      </c>
      <c r="G87" s="9">
        <v>15.455</v>
      </c>
      <c r="I87" s="9">
        <v>74.663944515600008</v>
      </c>
      <c r="J87" s="9">
        <v>31.16451478236915</v>
      </c>
      <c r="K87" s="9">
        <v>93.493544347107445</v>
      </c>
      <c r="L87" s="10">
        <v>385.26595370049603</v>
      </c>
      <c r="M87" s="10">
        <v>482.42668883107439</v>
      </c>
      <c r="P87" s="8" t="s">
        <v>46</v>
      </c>
      <c r="Q87" s="8" t="s">
        <v>99</v>
      </c>
      <c r="S87" t="s">
        <v>141</v>
      </c>
      <c r="T87" t="s">
        <v>229</v>
      </c>
      <c r="U87" s="3">
        <v>482.42668883107439</v>
      </c>
      <c r="V87" s="3">
        <v>427.83383510987989</v>
      </c>
      <c r="W87" t="s">
        <v>286</v>
      </c>
    </row>
    <row r="88" spans="1:23" ht="35.25" customHeight="1">
      <c r="A88" s="8" t="s">
        <v>287</v>
      </c>
      <c r="B88" s="8" t="s">
        <v>288</v>
      </c>
      <c r="C88" s="8" t="s">
        <v>44</v>
      </c>
      <c r="D88" s="8" t="s">
        <v>159</v>
      </c>
      <c r="F88" s="11">
        <v>1</v>
      </c>
      <c r="G88" s="9">
        <v>45.735599999999998</v>
      </c>
      <c r="I88" s="9">
        <v>73.650389319263994</v>
      </c>
      <c r="J88" s="9">
        <v>92.224379312877531</v>
      </c>
      <c r="K88" s="9">
        <v>92.224379312877531</v>
      </c>
      <c r="L88" s="10">
        <v>380.0360088874022</v>
      </c>
      <c r="M88" s="10">
        <v>475.87779725444813</v>
      </c>
      <c r="P88" s="8" t="s">
        <v>46</v>
      </c>
      <c r="Q88" s="8" t="s">
        <v>99</v>
      </c>
      <c r="S88" t="s">
        <v>141</v>
      </c>
      <c r="T88" t="s">
        <v>289</v>
      </c>
      <c r="U88" s="3">
        <v>475.87779725444813</v>
      </c>
      <c r="V88" s="3">
        <v>333.06385229092672</v>
      </c>
      <c r="W88" t="s">
        <v>290</v>
      </c>
    </row>
    <row r="89" spans="1:23" ht="35.25" customHeight="1">
      <c r="A89" s="8" t="s">
        <v>291</v>
      </c>
      <c r="B89" s="8" t="s">
        <v>292</v>
      </c>
      <c r="C89" s="8" t="s">
        <v>44</v>
      </c>
      <c r="D89" s="8" t="s">
        <v>72</v>
      </c>
      <c r="F89" s="11">
        <v>1</v>
      </c>
      <c r="I89" s="9">
        <v>73.009239354671607</v>
      </c>
      <c r="J89" s="9">
        <v>91.421536882884553</v>
      </c>
      <c r="K89" s="9">
        <v>91.421536882884553</v>
      </c>
      <c r="L89" s="10">
        <v>376.72767507010548</v>
      </c>
      <c r="M89" s="10">
        <v>471.73513031568427</v>
      </c>
      <c r="N89" s="10">
        <v>376.72767507010548</v>
      </c>
      <c r="P89" s="8" t="s">
        <v>83</v>
      </c>
      <c r="Q89" s="8" t="s">
        <v>99</v>
      </c>
    </row>
    <row r="90" spans="1:23" ht="35.25" customHeight="1">
      <c r="A90" s="8" t="s">
        <v>293</v>
      </c>
      <c r="B90" s="8" t="s">
        <v>294</v>
      </c>
      <c r="C90" s="8" t="s">
        <v>44</v>
      </c>
      <c r="D90" s="8" t="s">
        <v>72</v>
      </c>
      <c r="F90" s="11">
        <v>1</v>
      </c>
      <c r="I90" s="9">
        <v>69.554429323574908</v>
      </c>
      <c r="J90" s="9">
        <v>87.095453698440906</v>
      </c>
      <c r="K90" s="9">
        <v>87.095453698440906</v>
      </c>
      <c r="L90" s="10">
        <v>358.90085530964649</v>
      </c>
      <c r="M90" s="10">
        <v>449.41254108395509</v>
      </c>
      <c r="N90" s="10">
        <v>358.90085530964649</v>
      </c>
      <c r="P90" s="8" t="s">
        <v>83</v>
      </c>
      <c r="Q90" s="8" t="s">
        <v>99</v>
      </c>
    </row>
    <row r="91" spans="1:23" ht="35.25" customHeight="1">
      <c r="A91" s="8" t="s">
        <v>295</v>
      </c>
      <c r="B91" s="8" t="s">
        <v>296</v>
      </c>
      <c r="C91" s="8" t="s">
        <v>44</v>
      </c>
      <c r="D91" s="8" t="s">
        <v>69</v>
      </c>
      <c r="F91" s="11">
        <v>1</v>
      </c>
      <c r="I91" s="9">
        <v>64.940825522698645</v>
      </c>
      <c r="J91" s="9">
        <v>81.318338996617385</v>
      </c>
      <c r="K91" s="9">
        <v>81.318338996617385</v>
      </c>
      <c r="L91" s="10">
        <v>335.094659697125</v>
      </c>
      <c r="M91" s="10">
        <v>419.60262922254572</v>
      </c>
      <c r="N91" s="10">
        <v>335.094659697125</v>
      </c>
      <c r="P91" s="8" t="s">
        <v>83</v>
      </c>
      <c r="Q91" s="8" t="s">
        <v>99</v>
      </c>
      <c r="S91" t="s">
        <v>141</v>
      </c>
      <c r="T91" t="s">
        <v>142</v>
      </c>
      <c r="U91" s="3">
        <v>621.26344359408597</v>
      </c>
      <c r="V91" s="3">
        <v>419.60262922254572</v>
      </c>
      <c r="W91" t="s">
        <v>297</v>
      </c>
    </row>
    <row r="92" spans="1:23" ht="35.25" customHeight="1">
      <c r="A92" s="8" t="s">
        <v>298</v>
      </c>
      <c r="B92" s="8" t="s">
        <v>299</v>
      </c>
      <c r="C92" s="8" t="s">
        <v>44</v>
      </c>
      <c r="D92" s="8" t="s">
        <v>159</v>
      </c>
      <c r="F92" s="11">
        <v>109</v>
      </c>
      <c r="I92" s="9">
        <v>59.410357359388463</v>
      </c>
      <c r="J92" s="9">
        <v>0.68250582279756156</v>
      </c>
      <c r="K92" s="9">
        <v>74.393134684934211</v>
      </c>
      <c r="L92" s="10">
        <v>306.55744397444448</v>
      </c>
      <c r="M92" s="10">
        <v>383.86857497426053</v>
      </c>
      <c r="N92" s="10">
        <v>2.8124536144444452</v>
      </c>
      <c r="P92" s="8" t="s">
        <v>83</v>
      </c>
      <c r="Q92" s="8" t="s">
        <v>246</v>
      </c>
      <c r="S92" t="s">
        <v>141</v>
      </c>
      <c r="T92" t="s">
        <v>142</v>
      </c>
      <c r="U92" s="3">
        <v>362.69477196098512</v>
      </c>
      <c r="V92" s="3">
        <v>383.86857497426053</v>
      </c>
      <c r="W92" t="s">
        <v>300</v>
      </c>
    </row>
    <row r="93" spans="1:23" ht="35.25" customHeight="1">
      <c r="A93" s="8" t="s">
        <v>301</v>
      </c>
      <c r="B93" s="8" t="s">
        <v>302</v>
      </c>
      <c r="C93" s="8" t="s">
        <v>44</v>
      </c>
      <c r="D93" s="8" t="s">
        <v>159</v>
      </c>
      <c r="F93" s="11">
        <v>1</v>
      </c>
      <c r="I93" s="9">
        <v>54.729799669721103</v>
      </c>
      <c r="J93" s="9">
        <v>68.532180903732907</v>
      </c>
      <c r="K93" s="9">
        <v>68.532180903732907</v>
      </c>
      <c r="L93" s="10">
        <v>282.40576629576088</v>
      </c>
      <c r="M93" s="10">
        <v>353.62605346326183</v>
      </c>
      <c r="N93" s="10">
        <v>282.40576629576088</v>
      </c>
      <c r="P93" s="8" t="s">
        <v>83</v>
      </c>
      <c r="Q93" s="8" t="s">
        <v>99</v>
      </c>
      <c r="S93" t="s">
        <v>141</v>
      </c>
      <c r="T93" t="s">
        <v>142</v>
      </c>
      <c r="U93" s="3">
        <v>360.48467373557941</v>
      </c>
      <c r="V93" s="3">
        <v>353.62605346326183</v>
      </c>
      <c r="W93" t="s">
        <v>303</v>
      </c>
    </row>
    <row r="94" spans="1:23" ht="35.25" customHeight="1">
      <c r="A94" s="8" t="s">
        <v>304</v>
      </c>
      <c r="B94" s="8" t="s">
        <v>305</v>
      </c>
      <c r="C94" s="8" t="s">
        <v>44</v>
      </c>
      <c r="D94" s="8" t="s">
        <v>69</v>
      </c>
      <c r="F94" s="11">
        <v>1</v>
      </c>
      <c r="I94" s="9">
        <v>50.927566751301853</v>
      </c>
      <c r="J94" s="9">
        <v>63.771057790260272</v>
      </c>
      <c r="K94" s="9">
        <v>63.771057790260272</v>
      </c>
      <c r="L94" s="10">
        <v>262.78624443671748</v>
      </c>
      <c r="M94" s="10">
        <v>329.058658197743</v>
      </c>
      <c r="N94" s="10">
        <v>262.78624443671748</v>
      </c>
      <c r="P94" s="8" t="s">
        <v>83</v>
      </c>
      <c r="Q94" s="8" t="s">
        <v>99</v>
      </c>
      <c r="S94" t="s">
        <v>141</v>
      </c>
      <c r="T94" t="s">
        <v>142</v>
      </c>
      <c r="U94" s="3">
        <v>337.85212390298841</v>
      </c>
      <c r="V94" s="3">
        <v>329.058658197743</v>
      </c>
      <c r="W94" t="s">
        <v>306</v>
      </c>
    </row>
    <row r="95" spans="1:23" ht="35.25" customHeight="1">
      <c r="A95" s="8" t="s">
        <v>307</v>
      </c>
      <c r="B95" s="8" t="s">
        <v>308</v>
      </c>
      <c r="C95" s="8" t="s">
        <v>44</v>
      </c>
      <c r="D95" s="8" t="s">
        <v>72</v>
      </c>
      <c r="F95" s="11">
        <v>1</v>
      </c>
      <c r="I95" s="9">
        <v>38.450978648927673</v>
      </c>
      <c r="J95" s="9">
        <v>48.147982280149847</v>
      </c>
      <c r="K95" s="9">
        <v>48.147982280149847</v>
      </c>
      <c r="L95" s="10">
        <v>198.4070498284668</v>
      </c>
      <c r="M95" s="10">
        <v>248.44358856557329</v>
      </c>
      <c r="N95" s="10">
        <v>198.4070498284668</v>
      </c>
      <c r="P95" s="8" t="s">
        <v>83</v>
      </c>
      <c r="Q95" s="8" t="s">
        <v>99</v>
      </c>
    </row>
    <row r="96" spans="1:23" ht="35.25" customHeight="1">
      <c r="A96" s="8" t="s">
        <v>309</v>
      </c>
      <c r="B96" s="8" t="s">
        <v>310</v>
      </c>
      <c r="C96" s="8" t="s">
        <v>44</v>
      </c>
      <c r="D96" s="8" t="s">
        <v>102</v>
      </c>
      <c r="F96" s="11">
        <v>1</v>
      </c>
      <c r="G96" s="9">
        <v>22.020600000000002</v>
      </c>
      <c r="I96" s="9">
        <v>35.460904919664003</v>
      </c>
      <c r="J96" s="9">
        <v>44.403837865845233</v>
      </c>
      <c r="K96" s="9">
        <v>44.403837865845233</v>
      </c>
      <c r="L96" s="10">
        <v>182.97826938546629</v>
      </c>
      <c r="M96" s="10">
        <v>229.1238033877614</v>
      </c>
      <c r="P96" s="8" t="s">
        <v>46</v>
      </c>
      <c r="Q96" s="8" t="s">
        <v>99</v>
      </c>
      <c r="S96" t="s">
        <v>268</v>
      </c>
      <c r="T96" t="s">
        <v>311</v>
      </c>
      <c r="U96" s="3">
        <v>229.1238033877614</v>
      </c>
      <c r="V96" s="3">
        <v>94.303962935869038</v>
      </c>
      <c r="W96" t="s">
        <v>312</v>
      </c>
    </row>
    <row r="97" spans="1:23" ht="35.25" customHeight="1">
      <c r="A97" s="8" t="s">
        <v>313</v>
      </c>
      <c r="B97" s="8" t="s">
        <v>314</v>
      </c>
      <c r="C97" s="8" t="s">
        <v>44</v>
      </c>
      <c r="D97" s="8" t="s">
        <v>159</v>
      </c>
      <c r="F97" s="11">
        <v>82</v>
      </c>
      <c r="I97" s="9">
        <v>33.234893461520542</v>
      </c>
      <c r="J97" s="9">
        <v>0.50751762935015154</v>
      </c>
      <c r="K97" s="9">
        <v>41.616445606712418</v>
      </c>
      <c r="L97" s="10">
        <v>171.492050261446</v>
      </c>
      <c r="M97" s="10">
        <v>214.74085933063611</v>
      </c>
      <c r="N97" s="10">
        <v>2.0913664666030001</v>
      </c>
      <c r="P97" s="8" t="s">
        <v>83</v>
      </c>
      <c r="Q97" s="8" t="s">
        <v>134</v>
      </c>
    </row>
    <row r="98" spans="1:23" ht="35.25" customHeight="1">
      <c r="A98" s="8" t="s">
        <v>315</v>
      </c>
      <c r="B98" s="8" t="s">
        <v>316</v>
      </c>
      <c r="C98" s="8" t="s">
        <v>44</v>
      </c>
      <c r="D98" s="8" t="s">
        <v>102</v>
      </c>
      <c r="F98" s="11">
        <v>1</v>
      </c>
      <c r="I98" s="9">
        <v>29.821878771317831</v>
      </c>
      <c r="J98" s="9">
        <v>37.342698185972743</v>
      </c>
      <c r="K98" s="9">
        <v>37.342698185972743</v>
      </c>
      <c r="L98" s="10">
        <v>153.88089446000001</v>
      </c>
      <c r="M98" s="10">
        <v>192.68832263961929</v>
      </c>
      <c r="N98" s="10">
        <v>153.88089446000001</v>
      </c>
      <c r="P98" s="8" t="s">
        <v>83</v>
      </c>
      <c r="Q98" s="8" t="s">
        <v>99</v>
      </c>
      <c r="S98" t="s">
        <v>268</v>
      </c>
      <c r="T98" t="s">
        <v>142</v>
      </c>
      <c r="U98" s="3">
        <v>189.09308498198149</v>
      </c>
      <c r="V98" s="3">
        <v>192.68832263961929</v>
      </c>
      <c r="W98" t="s">
        <v>317</v>
      </c>
    </row>
    <row r="99" spans="1:23" ht="35.25" customHeight="1">
      <c r="A99" s="8" t="s">
        <v>318</v>
      </c>
      <c r="B99" s="8" t="s">
        <v>319</v>
      </c>
      <c r="C99" s="8" t="s">
        <v>44</v>
      </c>
      <c r="D99" s="8" t="s">
        <v>102</v>
      </c>
      <c r="F99" s="11">
        <v>1</v>
      </c>
      <c r="I99" s="9">
        <v>29.79374214169389</v>
      </c>
      <c r="J99" s="9">
        <v>37.307465742166151</v>
      </c>
      <c r="K99" s="9">
        <v>37.307465742166151</v>
      </c>
      <c r="L99" s="10">
        <v>153.73570945114051</v>
      </c>
      <c r="M99" s="10">
        <v>192.50652322957731</v>
      </c>
      <c r="N99" s="10">
        <v>153.73570945114051</v>
      </c>
      <c r="P99" s="8" t="s">
        <v>83</v>
      </c>
      <c r="Q99" s="8" t="s">
        <v>99</v>
      </c>
      <c r="S99" t="s">
        <v>268</v>
      </c>
      <c r="T99" t="s">
        <v>142</v>
      </c>
      <c r="U99" s="3">
        <v>188.95797411322619</v>
      </c>
      <c r="V99" s="3">
        <v>192.50652322957731</v>
      </c>
      <c r="W99" t="s">
        <v>320</v>
      </c>
    </row>
    <row r="100" spans="1:23" ht="35.25" customHeight="1">
      <c r="A100" s="8" t="s">
        <v>321</v>
      </c>
      <c r="B100" s="8" t="s">
        <v>322</v>
      </c>
      <c r="C100" s="8" t="s">
        <v>44</v>
      </c>
      <c r="D100" s="8" t="s">
        <v>102</v>
      </c>
      <c r="F100" s="11">
        <v>1</v>
      </c>
      <c r="I100" s="9">
        <v>29.53231403936616</v>
      </c>
      <c r="J100" s="9">
        <v>36.980107737748767</v>
      </c>
      <c r="K100" s="9">
        <v>36.980107737748767</v>
      </c>
      <c r="L100" s="10">
        <v>152.38674044312941</v>
      </c>
      <c r="M100" s="10">
        <v>190.81735592678359</v>
      </c>
      <c r="N100" s="10">
        <v>152.38674044312941</v>
      </c>
      <c r="P100" s="8" t="s">
        <v>83</v>
      </c>
      <c r="Q100" s="8" t="s">
        <v>99</v>
      </c>
      <c r="S100" t="s">
        <v>268</v>
      </c>
      <c r="T100" t="s">
        <v>142</v>
      </c>
      <c r="U100" s="3">
        <v>192.06453788387691</v>
      </c>
      <c r="V100" s="3">
        <v>190.81735592678359</v>
      </c>
      <c r="W100" t="s">
        <v>323</v>
      </c>
    </row>
    <row r="101" spans="1:23" ht="35.25" customHeight="1">
      <c r="A101" s="8" t="s">
        <v>324</v>
      </c>
      <c r="B101" s="8" t="s">
        <v>325</v>
      </c>
      <c r="C101" s="8" t="s">
        <v>44</v>
      </c>
      <c r="D101" s="8" t="s">
        <v>102</v>
      </c>
      <c r="F101" s="11">
        <v>1</v>
      </c>
      <c r="I101" s="9">
        <v>29.404117337430169</v>
      </c>
      <c r="J101" s="9">
        <v>36.819580938429972</v>
      </c>
      <c r="K101" s="9">
        <v>36.819580938429972</v>
      </c>
      <c r="L101" s="10">
        <v>151.72524546113971</v>
      </c>
      <c r="M101" s="10">
        <v>189.9890376422986</v>
      </c>
      <c r="N101" s="10">
        <v>151.72524546113971</v>
      </c>
      <c r="P101" s="8" t="s">
        <v>83</v>
      </c>
      <c r="Q101" s="8" t="s">
        <v>99</v>
      </c>
      <c r="S101" t="s">
        <v>268</v>
      </c>
      <c r="T101" t="s">
        <v>142</v>
      </c>
      <c r="U101" s="3">
        <v>224.95466542394001</v>
      </c>
      <c r="V101" s="3">
        <v>189.9890376422986</v>
      </c>
      <c r="W101" t="s">
        <v>326</v>
      </c>
    </row>
    <row r="102" spans="1:23" ht="35.25" customHeight="1">
      <c r="A102" s="8" t="s">
        <v>327</v>
      </c>
      <c r="B102" s="8" t="s">
        <v>328</v>
      </c>
      <c r="C102" s="8" t="s">
        <v>44</v>
      </c>
      <c r="D102" s="8" t="s">
        <v>102</v>
      </c>
      <c r="F102" s="11">
        <v>1</v>
      </c>
      <c r="I102" s="9">
        <v>28.96111199312044</v>
      </c>
      <c r="J102" s="9">
        <v>36.2648534849993</v>
      </c>
      <c r="K102" s="9">
        <v>36.2648534849993</v>
      </c>
      <c r="L102" s="10">
        <v>149.4393378845015</v>
      </c>
      <c r="M102" s="10">
        <v>187.12664398259639</v>
      </c>
      <c r="N102" s="10">
        <v>149.4393378845015</v>
      </c>
      <c r="P102" s="8" t="s">
        <v>83</v>
      </c>
      <c r="Q102" s="8" t="s">
        <v>99</v>
      </c>
    </row>
    <row r="103" spans="1:23" ht="35.25" customHeight="1">
      <c r="A103" s="8" t="s">
        <v>329</v>
      </c>
      <c r="B103" s="8" t="s">
        <v>330</v>
      </c>
      <c r="C103" s="8" t="s">
        <v>44</v>
      </c>
      <c r="D103" s="8" t="s">
        <v>102</v>
      </c>
      <c r="F103" s="11">
        <v>1</v>
      </c>
      <c r="I103" s="9">
        <v>28.826601735409572</v>
      </c>
      <c r="J103" s="9">
        <v>36.096420905847189</v>
      </c>
      <c r="K103" s="9">
        <v>36.096420905847189</v>
      </c>
      <c r="L103" s="10">
        <v>148.74526495471341</v>
      </c>
      <c r="M103" s="10">
        <v>186.25753187417149</v>
      </c>
      <c r="N103" s="10">
        <v>148.74526495471341</v>
      </c>
      <c r="P103" s="8" t="s">
        <v>83</v>
      </c>
      <c r="Q103" s="8" t="s">
        <v>99</v>
      </c>
      <c r="S103" t="s">
        <v>268</v>
      </c>
      <c r="T103" t="s">
        <v>142</v>
      </c>
      <c r="U103" s="3">
        <v>217.1695179936174</v>
      </c>
      <c r="V103" s="3">
        <v>186.25753187417149</v>
      </c>
      <c r="W103" t="s">
        <v>331</v>
      </c>
    </row>
    <row r="104" spans="1:23" ht="35.25" customHeight="1">
      <c r="A104" s="8" t="s">
        <v>332</v>
      </c>
      <c r="B104" s="8" t="s">
        <v>333</v>
      </c>
      <c r="C104" s="8" t="s">
        <v>44</v>
      </c>
      <c r="D104" s="8" t="s">
        <v>102</v>
      </c>
      <c r="F104" s="11">
        <v>1</v>
      </c>
      <c r="I104" s="9">
        <v>27.791609325292399</v>
      </c>
      <c r="J104" s="9">
        <v>34.800412378277478</v>
      </c>
      <c r="K104" s="9">
        <v>34.800412378277478</v>
      </c>
      <c r="L104" s="10">
        <v>143.40470411850879</v>
      </c>
      <c r="M104" s="10">
        <v>179.57012787191181</v>
      </c>
      <c r="N104" s="10">
        <v>143.40470411850879</v>
      </c>
      <c r="P104" s="8" t="s">
        <v>83</v>
      </c>
      <c r="Q104" s="8" t="s">
        <v>334</v>
      </c>
      <c r="S104" t="s">
        <v>268</v>
      </c>
      <c r="T104" t="s">
        <v>142</v>
      </c>
      <c r="U104" s="3">
        <v>186.29520516695419</v>
      </c>
      <c r="V104" s="3">
        <v>179.57012787191181</v>
      </c>
      <c r="W104" t="s">
        <v>335</v>
      </c>
    </row>
    <row r="105" spans="1:23" ht="35.25" customHeight="1">
      <c r="A105" s="8" t="s">
        <v>336</v>
      </c>
      <c r="B105" s="8" t="s">
        <v>337</v>
      </c>
      <c r="C105" s="8" t="s">
        <v>44</v>
      </c>
      <c r="D105" s="8" t="s">
        <v>159</v>
      </c>
      <c r="F105" s="11">
        <v>1</v>
      </c>
      <c r="I105" s="9">
        <v>26.537913480698862</v>
      </c>
      <c r="J105" s="9">
        <v>33.230545305157612</v>
      </c>
      <c r="K105" s="9">
        <v>33.230545305157612</v>
      </c>
      <c r="L105" s="10">
        <v>136.9356335604061</v>
      </c>
      <c r="M105" s="10">
        <v>171.46961377461329</v>
      </c>
      <c r="N105" s="10">
        <v>136.9356335604061</v>
      </c>
      <c r="P105" s="8" t="s">
        <v>83</v>
      </c>
      <c r="Q105" s="8" t="s">
        <v>99</v>
      </c>
    </row>
    <row r="106" spans="1:23" ht="35.25" customHeight="1">
      <c r="A106" s="8" t="s">
        <v>338</v>
      </c>
      <c r="B106" s="8" t="s">
        <v>339</v>
      </c>
      <c r="C106" s="8" t="s">
        <v>44</v>
      </c>
      <c r="D106" s="8" t="s">
        <v>72</v>
      </c>
      <c r="F106" s="11">
        <v>1</v>
      </c>
      <c r="I106" s="9">
        <v>24.50462499209128</v>
      </c>
      <c r="J106" s="9">
        <v>30.684479078501479</v>
      </c>
      <c r="K106" s="9">
        <v>30.684479078501479</v>
      </c>
      <c r="L106" s="10">
        <v>126.443864959191</v>
      </c>
      <c r="M106" s="10">
        <v>158.33191204506761</v>
      </c>
      <c r="N106" s="10">
        <v>126.443864959191</v>
      </c>
      <c r="P106" s="8" t="s">
        <v>83</v>
      </c>
      <c r="Q106" s="8" t="s">
        <v>99</v>
      </c>
    </row>
    <row r="107" spans="1:23" ht="35.25" customHeight="1">
      <c r="A107" s="8" t="s">
        <v>340</v>
      </c>
      <c r="B107" s="8" t="s">
        <v>341</v>
      </c>
      <c r="C107" s="8" t="s">
        <v>44</v>
      </c>
      <c r="D107" s="8" t="s">
        <v>72</v>
      </c>
      <c r="F107" s="11">
        <v>1</v>
      </c>
      <c r="I107" s="9">
        <v>24.275243474240561</v>
      </c>
      <c r="J107" s="9">
        <v>30.397249529477289</v>
      </c>
      <c r="K107" s="9">
        <v>30.397249529477289</v>
      </c>
      <c r="L107" s="10">
        <v>125.26025632708129</v>
      </c>
      <c r="M107" s="10">
        <v>156.8498075721028</v>
      </c>
      <c r="N107" s="10">
        <v>125.26025632708129</v>
      </c>
      <c r="P107" s="8" t="s">
        <v>83</v>
      </c>
      <c r="Q107" s="8" t="s">
        <v>99</v>
      </c>
      <c r="S107" t="s">
        <v>141</v>
      </c>
      <c r="T107" t="s">
        <v>142</v>
      </c>
      <c r="U107" s="3">
        <v>189.1552162573945</v>
      </c>
      <c r="V107" s="3">
        <v>156.8498075721028</v>
      </c>
      <c r="W107" t="s">
        <v>342</v>
      </c>
    </row>
    <row r="108" spans="1:23" ht="35.25" customHeight="1">
      <c r="A108" s="8" t="s">
        <v>343</v>
      </c>
      <c r="B108" s="8" t="s">
        <v>344</v>
      </c>
      <c r="C108" s="8" t="s">
        <v>44</v>
      </c>
      <c r="D108" s="8" t="s">
        <v>72</v>
      </c>
      <c r="F108" s="11">
        <v>1</v>
      </c>
      <c r="I108" s="9">
        <v>22.512975956619869</v>
      </c>
      <c r="J108" s="9">
        <v>28.19055341424977</v>
      </c>
      <c r="K108" s="9">
        <v>28.19055341424977</v>
      </c>
      <c r="L108" s="10">
        <v>116.1669559361585</v>
      </c>
      <c r="M108" s="10">
        <v>145.4632556175288</v>
      </c>
      <c r="N108" s="10">
        <v>116.1669559361585</v>
      </c>
      <c r="P108" s="8" t="s">
        <v>83</v>
      </c>
      <c r="Q108" s="8" t="s">
        <v>99</v>
      </c>
      <c r="S108" t="s">
        <v>141</v>
      </c>
      <c r="T108" t="s">
        <v>142</v>
      </c>
      <c r="U108" s="3">
        <v>159.71682624027659</v>
      </c>
      <c r="V108" s="3">
        <v>145.4632556175288</v>
      </c>
      <c r="W108" t="s">
        <v>345</v>
      </c>
    </row>
    <row r="109" spans="1:23" ht="35.25" customHeight="1">
      <c r="A109" s="8" t="s">
        <v>346</v>
      </c>
      <c r="B109" s="8" t="s">
        <v>347</v>
      </c>
      <c r="C109" s="8" t="s">
        <v>44</v>
      </c>
      <c r="D109" s="8" t="s">
        <v>159</v>
      </c>
      <c r="F109" s="11">
        <v>1</v>
      </c>
      <c r="G109" s="9">
        <v>13.66</v>
      </c>
      <c r="I109" s="9">
        <v>21.997400670400001</v>
      </c>
      <c r="J109" s="9">
        <v>27.54495450838969</v>
      </c>
      <c r="K109" s="9">
        <v>27.54495450838969</v>
      </c>
      <c r="L109" s="10">
        <v>113.506587459264</v>
      </c>
      <c r="M109" s="10">
        <v>142.13196526329079</v>
      </c>
      <c r="P109" s="8" t="s">
        <v>46</v>
      </c>
      <c r="Q109" s="8" t="s">
        <v>99</v>
      </c>
      <c r="S109" t="s">
        <v>141</v>
      </c>
      <c r="T109" t="s">
        <v>348</v>
      </c>
      <c r="U109" s="3">
        <v>142.13196526329079</v>
      </c>
      <c r="V109" s="3">
        <v>574.71908681129491</v>
      </c>
      <c r="W109" t="s">
        <v>349</v>
      </c>
    </row>
    <row r="110" spans="1:23" ht="35.25" customHeight="1">
      <c r="A110" s="8" t="s">
        <v>350</v>
      </c>
      <c r="B110" s="8" t="s">
        <v>351</v>
      </c>
      <c r="C110" s="8" t="s">
        <v>55</v>
      </c>
      <c r="D110" s="8" t="s">
        <v>102</v>
      </c>
      <c r="F110" s="11">
        <v>1</v>
      </c>
      <c r="I110" s="9">
        <v>20.95177738950445</v>
      </c>
      <c r="J110" s="9">
        <v>26.235634096549528</v>
      </c>
      <c r="K110" s="9">
        <v>26.235634096549528</v>
      </c>
      <c r="L110" s="10">
        <v>108.111171329843</v>
      </c>
      <c r="M110" s="10">
        <v>135.37587193819559</v>
      </c>
      <c r="N110" s="10">
        <v>108.111171329843</v>
      </c>
      <c r="P110" s="8" t="s">
        <v>83</v>
      </c>
      <c r="Q110" s="8" t="s">
        <v>99</v>
      </c>
      <c r="S110" t="s">
        <v>268</v>
      </c>
      <c r="T110" t="s">
        <v>142</v>
      </c>
      <c r="U110" s="3">
        <v>122.2546257983923</v>
      </c>
      <c r="V110" s="3">
        <v>135.37587193819559</v>
      </c>
      <c r="W110" t="s">
        <v>352</v>
      </c>
    </row>
    <row r="111" spans="1:23" ht="35.25" customHeight="1">
      <c r="A111" s="8" t="s">
        <v>353</v>
      </c>
      <c r="B111" s="8" t="s">
        <v>354</v>
      </c>
      <c r="C111" s="8" t="s">
        <v>44</v>
      </c>
      <c r="D111" s="8" t="s">
        <v>72</v>
      </c>
      <c r="F111" s="11">
        <v>1</v>
      </c>
      <c r="I111" s="9">
        <v>19.22711567620054</v>
      </c>
      <c r="J111" s="9">
        <v>24.076027643627029</v>
      </c>
      <c r="K111" s="9">
        <v>24.076027643627029</v>
      </c>
      <c r="L111" s="10">
        <v>99.211916889194796</v>
      </c>
      <c r="M111" s="10">
        <v>124.2323026411155</v>
      </c>
      <c r="N111" s="10">
        <v>99.211916889194796</v>
      </c>
      <c r="P111" s="8" t="s">
        <v>83</v>
      </c>
      <c r="Q111" s="8" t="s">
        <v>99</v>
      </c>
    </row>
    <row r="112" spans="1:23" ht="35.25" customHeight="1">
      <c r="A112" s="8" t="s">
        <v>355</v>
      </c>
      <c r="B112" s="8" t="s">
        <v>356</v>
      </c>
      <c r="C112" s="8" t="s">
        <v>81</v>
      </c>
      <c r="D112" s="8" t="s">
        <v>82</v>
      </c>
      <c r="F112" s="11">
        <v>14</v>
      </c>
      <c r="I112" s="9">
        <v>15.75586905029251</v>
      </c>
      <c r="J112" s="9">
        <v>1.409240192684744</v>
      </c>
      <c r="K112" s="9">
        <v>19.72936269758641</v>
      </c>
      <c r="L112" s="10">
        <v>81.300284299509343</v>
      </c>
      <c r="M112" s="10">
        <v>101.80351151954591</v>
      </c>
      <c r="N112" s="10">
        <v>5.8071631642506674</v>
      </c>
      <c r="P112" s="8" t="s">
        <v>83</v>
      </c>
      <c r="Q112" s="8" t="s">
        <v>134</v>
      </c>
    </row>
    <row r="113" spans="1:23" ht="35.25" customHeight="1">
      <c r="A113" s="8" t="s">
        <v>357</v>
      </c>
      <c r="B113" s="8" t="s">
        <v>358</v>
      </c>
      <c r="C113" s="8" t="s">
        <v>44</v>
      </c>
      <c r="D113" s="8" t="s">
        <v>69</v>
      </c>
      <c r="F113" s="11">
        <v>1</v>
      </c>
      <c r="I113" s="9">
        <v>14.27112448752062</v>
      </c>
      <c r="J113" s="9">
        <v>17.870178421638649</v>
      </c>
      <c r="K113" s="9">
        <v>17.870178421638649</v>
      </c>
      <c r="L113" s="10">
        <v>73.639002355606422</v>
      </c>
      <c r="M113" s="10">
        <v>92.21012065565543</v>
      </c>
      <c r="N113" s="10">
        <v>73.639002355606422</v>
      </c>
      <c r="P113" s="8" t="s">
        <v>83</v>
      </c>
      <c r="Q113" s="8" t="s">
        <v>99</v>
      </c>
      <c r="S113" t="s">
        <v>141</v>
      </c>
      <c r="T113" t="s">
        <v>142</v>
      </c>
      <c r="U113" s="3">
        <v>117.404441473294</v>
      </c>
      <c r="V113" s="3">
        <v>92.21012065565543</v>
      </c>
      <c r="W113" t="s">
        <v>359</v>
      </c>
    </row>
    <row r="114" spans="1:23" ht="35.25" customHeight="1">
      <c r="A114" s="8" t="s">
        <v>360</v>
      </c>
      <c r="B114" s="8" t="s">
        <v>361</v>
      </c>
      <c r="C114" s="8" t="s">
        <v>44</v>
      </c>
      <c r="D114" s="8" t="s">
        <v>102</v>
      </c>
      <c r="F114" s="11">
        <v>1</v>
      </c>
      <c r="I114" s="9">
        <v>13.86158490334363</v>
      </c>
      <c r="J114" s="9">
        <v>17.357356503059901</v>
      </c>
      <c r="K114" s="9">
        <v>17.357356503059901</v>
      </c>
      <c r="L114" s="10">
        <v>71.525778101253152</v>
      </c>
      <c r="M114" s="10">
        <v>89.563959555789069</v>
      </c>
      <c r="N114" s="10">
        <v>71.525778101253152</v>
      </c>
      <c r="P114" s="8" t="s">
        <v>83</v>
      </c>
      <c r="Q114" s="8" t="s">
        <v>99</v>
      </c>
      <c r="S114" t="s">
        <v>268</v>
      </c>
      <c r="T114" t="s">
        <v>142</v>
      </c>
      <c r="U114" s="3">
        <v>92.901049903266738</v>
      </c>
      <c r="V114" s="3">
        <v>89.563959555789069</v>
      </c>
      <c r="W114" t="s">
        <v>362</v>
      </c>
    </row>
    <row r="115" spans="1:23" ht="35.25" customHeight="1">
      <c r="A115" s="8" t="s">
        <v>363</v>
      </c>
      <c r="B115" s="8" t="s">
        <v>364</v>
      </c>
      <c r="C115" s="8" t="s">
        <v>44</v>
      </c>
      <c r="D115" s="8" t="s">
        <v>69</v>
      </c>
      <c r="F115" s="11">
        <v>1</v>
      </c>
      <c r="I115" s="9">
        <v>13.46407768580174</v>
      </c>
      <c r="J115" s="9">
        <v>16.85960140971919</v>
      </c>
      <c r="K115" s="9">
        <v>16.85960140971919</v>
      </c>
      <c r="L115" s="10">
        <v>69.474640858737004</v>
      </c>
      <c r="M115" s="10">
        <v>86.995543274151032</v>
      </c>
      <c r="N115" s="10">
        <v>69.474640858737004</v>
      </c>
      <c r="P115" s="8" t="s">
        <v>83</v>
      </c>
      <c r="Q115" s="8" t="s">
        <v>99</v>
      </c>
    </row>
    <row r="116" spans="1:23" ht="35.25" customHeight="1">
      <c r="A116" s="8" t="s">
        <v>365</v>
      </c>
      <c r="B116" s="8" t="s">
        <v>366</v>
      </c>
      <c r="C116" s="8" t="s">
        <v>44</v>
      </c>
      <c r="D116" s="8" t="s">
        <v>159</v>
      </c>
      <c r="F116" s="11">
        <v>12</v>
      </c>
      <c r="I116" s="9">
        <v>12.722585726744191</v>
      </c>
      <c r="J116" s="9">
        <v>1.327592633644731</v>
      </c>
      <c r="K116" s="9">
        <v>15.93111160373677</v>
      </c>
      <c r="L116" s="10">
        <v>65.64854235</v>
      </c>
      <c r="M116" s="10">
        <v>82.204535875281749</v>
      </c>
      <c r="N116" s="10">
        <v>5.4707118625</v>
      </c>
      <c r="P116" s="8" t="s">
        <v>83</v>
      </c>
      <c r="Q116" s="8" t="s">
        <v>99</v>
      </c>
      <c r="S116" t="s">
        <v>141</v>
      </c>
      <c r="T116" t="s">
        <v>142</v>
      </c>
      <c r="U116" s="3">
        <v>89.693892639090279</v>
      </c>
      <c r="V116" s="3">
        <v>82.204535875281749</v>
      </c>
      <c r="W116" t="s">
        <v>367</v>
      </c>
    </row>
    <row r="117" spans="1:23" ht="35.25" customHeight="1">
      <c r="A117" s="8" t="s">
        <v>368</v>
      </c>
      <c r="B117" s="8" t="s">
        <v>369</v>
      </c>
      <c r="C117" s="8" t="s">
        <v>44</v>
      </c>
      <c r="D117" s="8" t="s">
        <v>159</v>
      </c>
      <c r="F117" s="11">
        <v>4</v>
      </c>
      <c r="I117" s="9">
        <v>12.02038365135297</v>
      </c>
      <c r="J117" s="9">
        <v>3.7629550624070158</v>
      </c>
      <c r="K117" s="9">
        <v>15.05182024962806</v>
      </c>
      <c r="L117" s="10">
        <v>62.025179640981328</v>
      </c>
      <c r="M117" s="10">
        <v>77.667392488080807</v>
      </c>
      <c r="N117" s="10">
        <v>15.50629491024533</v>
      </c>
      <c r="P117" s="8" t="s">
        <v>83</v>
      </c>
      <c r="Q117" s="8" t="s">
        <v>99</v>
      </c>
      <c r="S117" t="s">
        <v>141</v>
      </c>
      <c r="T117" t="s">
        <v>142</v>
      </c>
      <c r="U117" s="3">
        <v>79.725274672824668</v>
      </c>
      <c r="V117" s="3">
        <v>77.667392488080807</v>
      </c>
      <c r="W117" t="s">
        <v>370</v>
      </c>
    </row>
    <row r="118" spans="1:23" ht="35.25" customHeight="1">
      <c r="A118" s="8" t="s">
        <v>371</v>
      </c>
      <c r="B118" s="8" t="s">
        <v>372</v>
      </c>
      <c r="C118" s="8" t="s">
        <v>44</v>
      </c>
      <c r="D118" s="8" t="s">
        <v>159</v>
      </c>
      <c r="F118" s="11">
        <v>1</v>
      </c>
      <c r="I118" s="9">
        <v>11.32834683802143</v>
      </c>
      <c r="J118" s="9">
        <v>14.18525774858681</v>
      </c>
      <c r="K118" s="9">
        <v>14.18525774858681</v>
      </c>
      <c r="L118" s="10">
        <v>58.454269684190571</v>
      </c>
      <c r="M118" s="10">
        <v>73.195929982707952</v>
      </c>
      <c r="N118" s="10">
        <v>58.454269684190571</v>
      </c>
      <c r="P118" s="8" t="s">
        <v>83</v>
      </c>
      <c r="Q118" s="8" t="s">
        <v>99</v>
      </c>
    </row>
    <row r="119" spans="1:23" ht="35.25" customHeight="1">
      <c r="A119" s="8" t="s">
        <v>373</v>
      </c>
      <c r="B119" s="8" t="s">
        <v>374</v>
      </c>
      <c r="C119" s="8" t="s">
        <v>44</v>
      </c>
      <c r="D119" s="8" t="s">
        <v>159</v>
      </c>
      <c r="F119" s="11">
        <v>1</v>
      </c>
      <c r="I119" s="9">
        <v>8.1596442523686044</v>
      </c>
      <c r="J119" s="9">
        <v>10.21743582816004</v>
      </c>
      <c r="K119" s="9">
        <v>10.21743582816004</v>
      </c>
      <c r="L119" s="10">
        <v>42.103764342222</v>
      </c>
      <c r="M119" s="10">
        <v>52.721968873305791</v>
      </c>
      <c r="N119" s="10">
        <v>42.103764342222</v>
      </c>
      <c r="P119" s="8" t="s">
        <v>83</v>
      </c>
      <c r="Q119" s="8" t="s">
        <v>99</v>
      </c>
      <c r="S119" t="s">
        <v>141</v>
      </c>
      <c r="T119" t="s">
        <v>142</v>
      </c>
      <c r="U119" s="3">
        <v>53.945726430028579</v>
      </c>
      <c r="V119" s="3">
        <v>52.721968873305791</v>
      </c>
      <c r="W119" t="s">
        <v>375</v>
      </c>
    </row>
    <row r="120" spans="1:23" ht="35.25" customHeight="1">
      <c r="A120" s="8" t="s">
        <v>376</v>
      </c>
      <c r="B120" s="8" t="s">
        <v>377</v>
      </c>
      <c r="C120" s="8" t="s">
        <v>44</v>
      </c>
      <c r="D120" s="8" t="s">
        <v>69</v>
      </c>
      <c r="F120" s="11">
        <v>1</v>
      </c>
      <c r="I120" s="9">
        <v>8.1031879626586729</v>
      </c>
      <c r="J120" s="9">
        <v>10.146741751388269</v>
      </c>
      <c r="K120" s="9">
        <v>10.146741751388269</v>
      </c>
      <c r="L120" s="10">
        <v>41.812449887318749</v>
      </c>
      <c r="M120" s="10">
        <v>52.357187437163468</v>
      </c>
      <c r="N120" s="10">
        <v>41.812449887318749</v>
      </c>
      <c r="P120" s="8" t="s">
        <v>83</v>
      </c>
      <c r="Q120" s="8" t="s">
        <v>99</v>
      </c>
    </row>
    <row r="121" spans="1:23" ht="35.25" customHeight="1">
      <c r="A121" s="8" t="s">
        <v>378</v>
      </c>
      <c r="B121" s="8" t="s">
        <v>379</v>
      </c>
      <c r="C121" s="8" t="s">
        <v>44</v>
      </c>
      <c r="D121" s="8" t="s">
        <v>159</v>
      </c>
      <c r="F121" s="11">
        <v>1</v>
      </c>
      <c r="I121" s="9">
        <v>6.8805131666666668</v>
      </c>
      <c r="J121" s="9">
        <v>8.6157189665247511</v>
      </c>
      <c r="K121" s="9">
        <v>8.6157189665247511</v>
      </c>
      <c r="L121" s="10">
        <v>35.503447940000001</v>
      </c>
      <c r="M121" s="10">
        <v>44.457109867267718</v>
      </c>
      <c r="N121" s="10">
        <v>35.503447940000001</v>
      </c>
      <c r="P121" s="8" t="s">
        <v>83</v>
      </c>
      <c r="Q121" s="8" t="s">
        <v>99</v>
      </c>
      <c r="S121" t="s">
        <v>141</v>
      </c>
      <c r="T121" t="s">
        <v>142</v>
      </c>
      <c r="U121" s="3">
        <v>48.25430436005243</v>
      </c>
      <c r="V121" s="3">
        <v>44.457109867267718</v>
      </c>
      <c r="W121" t="s">
        <v>380</v>
      </c>
    </row>
    <row r="122" spans="1:23" ht="35.25" customHeight="1">
      <c r="A122" s="8" t="s">
        <v>381</v>
      </c>
      <c r="B122" s="8" t="s">
        <v>382</v>
      </c>
      <c r="C122" s="8" t="s">
        <v>81</v>
      </c>
      <c r="D122" s="8" t="s">
        <v>44</v>
      </c>
      <c r="F122" s="11">
        <v>2</v>
      </c>
      <c r="I122" s="9">
        <v>6.1518113978405324</v>
      </c>
      <c r="J122" s="9">
        <v>3.8516224629605129</v>
      </c>
      <c r="K122" s="9">
        <v>7.7032449259210267</v>
      </c>
      <c r="L122" s="10">
        <v>31.743346812857141</v>
      </c>
      <c r="M122" s="10">
        <v>39.748743817752498</v>
      </c>
      <c r="N122" s="10">
        <v>15.87167340642857</v>
      </c>
      <c r="P122" s="8" t="s">
        <v>83</v>
      </c>
      <c r="Q122" s="8" t="s">
        <v>99</v>
      </c>
      <c r="S122" t="s">
        <v>74</v>
      </c>
      <c r="T122" t="s">
        <v>142</v>
      </c>
      <c r="V122" s="3">
        <v>39.748743817752498</v>
      </c>
    </row>
    <row r="123" spans="1:23" ht="35.25" customHeight="1">
      <c r="A123" s="8" t="s">
        <v>383</v>
      </c>
      <c r="B123" s="8" t="s">
        <v>384</v>
      </c>
      <c r="C123" s="8" t="s">
        <v>44</v>
      </c>
      <c r="D123" s="8" t="s">
        <v>159</v>
      </c>
      <c r="F123" s="11">
        <v>9</v>
      </c>
      <c r="I123" s="9">
        <v>4.6653165695052907</v>
      </c>
      <c r="J123" s="9">
        <v>0.64909655362235186</v>
      </c>
      <c r="K123" s="9">
        <v>5.8418689826011656</v>
      </c>
      <c r="L123" s="10">
        <v>24.073033498647298</v>
      </c>
      <c r="M123" s="10">
        <v>30.14404395022202</v>
      </c>
      <c r="N123" s="10">
        <v>2.6747814998497002</v>
      </c>
      <c r="P123" s="8" t="s">
        <v>83</v>
      </c>
      <c r="Q123" s="8" t="s">
        <v>99</v>
      </c>
      <c r="S123" t="s">
        <v>141</v>
      </c>
      <c r="T123" t="s">
        <v>142</v>
      </c>
      <c r="U123" s="3">
        <v>36.253599203492961</v>
      </c>
      <c r="V123" s="3">
        <v>30.14404395022202</v>
      </c>
      <c r="W123" t="s">
        <v>385</v>
      </c>
    </row>
    <row r="124" spans="1:23" ht="35.25" customHeight="1">
      <c r="A124" s="8" t="s">
        <v>386</v>
      </c>
      <c r="B124" s="8" t="s">
        <v>387</v>
      </c>
      <c r="C124" s="8" t="s">
        <v>81</v>
      </c>
      <c r="D124" s="8" t="s">
        <v>82</v>
      </c>
      <c r="F124" s="11">
        <v>16</v>
      </c>
      <c r="I124" s="9">
        <v>3.9040292325364341</v>
      </c>
      <c r="J124" s="9">
        <v>0.30553697349552611</v>
      </c>
      <c r="K124" s="9">
        <v>4.8885915759284178</v>
      </c>
      <c r="L124" s="10">
        <v>20.144790839888</v>
      </c>
      <c r="M124" s="10">
        <v>25.225132531790631</v>
      </c>
      <c r="N124" s="10">
        <v>1.259049427493</v>
      </c>
      <c r="P124" s="8" t="s">
        <v>83</v>
      </c>
      <c r="Q124" s="8" t="s">
        <v>99</v>
      </c>
    </row>
    <row r="125" spans="1:23" ht="35.25" customHeight="1">
      <c r="A125" s="8" t="s">
        <v>388</v>
      </c>
      <c r="B125" s="8" t="s">
        <v>389</v>
      </c>
      <c r="C125" s="8" t="s">
        <v>44</v>
      </c>
      <c r="D125" s="8" t="s">
        <v>159</v>
      </c>
      <c r="F125" s="11">
        <v>1</v>
      </c>
      <c r="G125" s="9">
        <v>1.9294</v>
      </c>
      <c r="I125" s="9">
        <v>3.1070120683360001</v>
      </c>
      <c r="J125" s="9">
        <v>3.890573589201102</v>
      </c>
      <c r="K125" s="9">
        <v>3.890573589201102</v>
      </c>
      <c r="L125" s="10">
        <v>16.03218227261376</v>
      </c>
      <c r="M125" s="10">
        <v>20.075359720277689</v>
      </c>
      <c r="P125" s="8" t="s">
        <v>46</v>
      </c>
      <c r="Q125" s="8" t="s">
        <v>99</v>
      </c>
      <c r="S125" t="s">
        <v>141</v>
      </c>
      <c r="T125" t="s">
        <v>390</v>
      </c>
      <c r="U125" s="3">
        <v>20.075359720277689</v>
      </c>
      <c r="V125" s="3">
        <v>18.57964198750939</v>
      </c>
      <c r="W125" t="s">
        <v>391</v>
      </c>
    </row>
    <row r="126" spans="1:23" ht="35.25" customHeight="1">
      <c r="A126" s="8" t="s">
        <v>392</v>
      </c>
      <c r="B126" s="8" t="s">
        <v>393</v>
      </c>
      <c r="C126" s="8" t="s">
        <v>44</v>
      </c>
      <c r="D126" s="8" t="s">
        <v>159</v>
      </c>
      <c r="F126" s="11">
        <v>1</v>
      </c>
      <c r="I126" s="9">
        <v>2.7525970329136951</v>
      </c>
      <c r="J126" s="9">
        <v>3.4467781529097108</v>
      </c>
      <c r="K126" s="9">
        <v>3.4467781529097108</v>
      </c>
      <c r="L126" s="10">
        <v>14.20340068983467</v>
      </c>
      <c r="M126" s="10">
        <v>17.785375269014111</v>
      </c>
      <c r="N126" s="10">
        <v>14.20340068983467</v>
      </c>
      <c r="P126" s="8" t="s">
        <v>83</v>
      </c>
      <c r="Q126" s="8" t="s">
        <v>99</v>
      </c>
      <c r="S126" t="s">
        <v>141</v>
      </c>
      <c r="T126" t="s">
        <v>142</v>
      </c>
      <c r="U126" s="3">
        <v>18.0249733448196</v>
      </c>
      <c r="V126" s="3">
        <v>17.785375269014111</v>
      </c>
      <c r="W126" t="s">
        <v>394</v>
      </c>
    </row>
    <row r="127" spans="1:23" ht="35.25" customHeight="1">
      <c r="A127" s="8" t="s">
        <v>395</v>
      </c>
      <c r="B127" s="8" t="s">
        <v>396</v>
      </c>
      <c r="C127" s="8" t="s">
        <v>44</v>
      </c>
      <c r="D127" s="8" t="s">
        <v>159</v>
      </c>
      <c r="F127" s="11">
        <v>1</v>
      </c>
      <c r="I127" s="9">
        <v>2.5436247503662792</v>
      </c>
      <c r="J127" s="9">
        <v>3.185104871482944</v>
      </c>
      <c r="K127" s="9">
        <v>3.185104871482944</v>
      </c>
      <c r="L127" s="10">
        <v>13.12510371189</v>
      </c>
      <c r="M127" s="10">
        <v>16.435141136851989</v>
      </c>
      <c r="N127" s="10">
        <v>13.12510371189</v>
      </c>
      <c r="P127" s="8" t="s">
        <v>83</v>
      </c>
      <c r="Q127" s="8" t="s">
        <v>99</v>
      </c>
      <c r="S127" t="s">
        <v>141</v>
      </c>
      <c r="T127" t="s">
        <v>142</v>
      </c>
      <c r="U127" s="3">
        <v>16.64526454636238</v>
      </c>
      <c r="V127" s="3">
        <v>16.435141136851989</v>
      </c>
      <c r="W127" t="s">
        <v>397</v>
      </c>
    </row>
    <row r="128" spans="1:23" ht="35.25" customHeight="1">
      <c r="A128" s="8" t="s">
        <v>398</v>
      </c>
      <c r="B128" s="8" t="s">
        <v>399</v>
      </c>
      <c r="C128" s="8" t="s">
        <v>44</v>
      </c>
      <c r="D128" s="8" t="s">
        <v>72</v>
      </c>
      <c r="F128" s="11">
        <v>1</v>
      </c>
      <c r="I128" s="9">
        <v>2.4454636056564438</v>
      </c>
      <c r="J128" s="9">
        <v>3.0621883366597089</v>
      </c>
      <c r="K128" s="9">
        <v>3.0621883366597089</v>
      </c>
      <c r="L128" s="10">
        <v>12.61859220518725</v>
      </c>
      <c r="M128" s="10">
        <v>15.8008918171641</v>
      </c>
      <c r="N128" s="10">
        <v>12.61859220518725</v>
      </c>
      <c r="P128" s="8" t="s">
        <v>83</v>
      </c>
      <c r="Q128" s="8" t="s">
        <v>99</v>
      </c>
      <c r="S128" t="s">
        <v>141</v>
      </c>
      <c r="T128" t="s">
        <v>142</v>
      </c>
      <c r="U128" s="3">
        <v>16.309952901276279</v>
      </c>
      <c r="V128" s="3">
        <v>15.8008918171641</v>
      </c>
      <c r="W128" t="s">
        <v>400</v>
      </c>
    </row>
    <row r="129" spans="1:23" ht="35.25" customHeight="1">
      <c r="A129" s="8" t="s">
        <v>401</v>
      </c>
      <c r="B129" s="8" t="s">
        <v>402</v>
      </c>
      <c r="C129" s="8" t="s">
        <v>44</v>
      </c>
      <c r="D129" s="8" t="s">
        <v>159</v>
      </c>
      <c r="F129" s="11">
        <v>1</v>
      </c>
      <c r="I129" s="9">
        <v>2.4262906057312881</v>
      </c>
      <c r="J129" s="9">
        <v>3.038180072290618</v>
      </c>
      <c r="K129" s="9">
        <v>3.038180072290618</v>
      </c>
      <c r="L129" s="10">
        <v>12.51965952557345</v>
      </c>
      <c r="M129" s="10">
        <v>15.67700917301959</v>
      </c>
      <c r="N129" s="10">
        <v>12.51965952557345</v>
      </c>
      <c r="P129" s="8" t="s">
        <v>83</v>
      </c>
      <c r="Q129" s="8" t="s">
        <v>99</v>
      </c>
    </row>
    <row r="130" spans="1:23" ht="35.25" customHeight="1">
      <c r="A130" s="8" t="s">
        <v>403</v>
      </c>
      <c r="B130" s="8" t="s">
        <v>404</v>
      </c>
      <c r="C130" s="8" t="s">
        <v>44</v>
      </c>
      <c r="D130" s="8" t="s">
        <v>72</v>
      </c>
      <c r="F130" s="11">
        <v>1</v>
      </c>
      <c r="I130" s="9">
        <v>1.9097706529198639</v>
      </c>
      <c r="J130" s="9">
        <v>2.3913982631102728</v>
      </c>
      <c r="K130" s="9">
        <v>2.3913982631102728</v>
      </c>
      <c r="L130" s="10">
        <v>9.8544165690664993</v>
      </c>
      <c r="M130" s="10">
        <v>12.339615037649009</v>
      </c>
      <c r="N130" s="10">
        <v>9.8544165690664993</v>
      </c>
      <c r="P130" s="8" t="s">
        <v>83</v>
      </c>
      <c r="Q130" s="8" t="s">
        <v>99</v>
      </c>
    </row>
    <row r="131" spans="1:23" ht="35.25" customHeight="1">
      <c r="A131" s="8" t="s">
        <v>405</v>
      </c>
      <c r="B131" s="8" t="s">
        <v>406</v>
      </c>
      <c r="C131" s="8" t="s">
        <v>81</v>
      </c>
      <c r="D131" s="8" t="s">
        <v>82</v>
      </c>
      <c r="F131" s="11">
        <v>16</v>
      </c>
      <c r="I131" s="9">
        <v>1.5521257706981171</v>
      </c>
      <c r="J131" s="9">
        <v>0.12147240254023579</v>
      </c>
      <c r="K131" s="9">
        <v>1.9435584406437729</v>
      </c>
      <c r="L131" s="10">
        <v>8.0089689768022847</v>
      </c>
      <c r="M131" s="10">
        <v>10.02876155372187</v>
      </c>
      <c r="N131" s="10">
        <v>0.50056056105014279</v>
      </c>
      <c r="P131" s="8" t="s">
        <v>83</v>
      </c>
      <c r="Q131" s="8" t="s">
        <v>99</v>
      </c>
    </row>
    <row r="132" spans="1:23" ht="35.25" customHeight="1">
      <c r="A132" s="8" t="s">
        <v>407</v>
      </c>
      <c r="B132" s="8" t="s">
        <v>408</v>
      </c>
      <c r="C132" s="8" t="s">
        <v>44</v>
      </c>
      <c r="D132" s="8" t="s">
        <v>159</v>
      </c>
      <c r="F132" s="11">
        <v>4</v>
      </c>
      <c r="I132" s="9">
        <v>1.4235069109447891</v>
      </c>
      <c r="J132" s="9">
        <v>0.44562575474104338</v>
      </c>
      <c r="K132" s="9">
        <v>1.782503018964174</v>
      </c>
      <c r="L132" s="10">
        <v>7.3452956604751121</v>
      </c>
      <c r="M132" s="10">
        <v>9.1977155778551367</v>
      </c>
      <c r="N132" s="10">
        <v>1.836323915118778</v>
      </c>
      <c r="P132" s="8" t="s">
        <v>83</v>
      </c>
      <c r="Q132" s="8" t="s">
        <v>134</v>
      </c>
      <c r="S132" t="s">
        <v>141</v>
      </c>
      <c r="T132" t="s">
        <v>142</v>
      </c>
      <c r="U132" s="3">
        <v>8.8680068018065246</v>
      </c>
      <c r="V132" s="3">
        <v>9.1977155778551367</v>
      </c>
      <c r="W132" t="s">
        <v>409</v>
      </c>
    </row>
    <row r="133" spans="1:23" ht="35.25" customHeight="1">
      <c r="A133" s="8" t="s">
        <v>410</v>
      </c>
      <c r="B133" s="8" t="s">
        <v>411</v>
      </c>
      <c r="C133" s="8" t="s">
        <v>50</v>
      </c>
      <c r="D133" s="8" t="s">
        <v>50</v>
      </c>
      <c r="F133" s="11">
        <v>1</v>
      </c>
      <c r="I133" s="9">
        <v>1.049927813953488</v>
      </c>
      <c r="J133" s="9">
        <v>1.314710510835823</v>
      </c>
      <c r="K133" s="9">
        <v>1.314710510835823</v>
      </c>
      <c r="L133" s="10">
        <v>5.4176275199999999</v>
      </c>
      <c r="M133" s="10">
        <v>6.7839062359128484</v>
      </c>
      <c r="N133" s="10">
        <v>5.4176275199999999</v>
      </c>
      <c r="P133" s="8" t="s">
        <v>83</v>
      </c>
      <c r="Q133" s="8" t="s">
        <v>134</v>
      </c>
    </row>
    <row r="134" spans="1:23" ht="35.25" customHeight="1">
      <c r="A134" s="8" t="s">
        <v>412</v>
      </c>
      <c r="B134" s="8" t="s">
        <v>413</v>
      </c>
      <c r="C134" s="8" t="s">
        <v>44</v>
      </c>
      <c r="D134" s="8" t="s">
        <v>159</v>
      </c>
      <c r="F134" s="11">
        <v>1</v>
      </c>
      <c r="I134" s="9">
        <v>1.0045850738694351</v>
      </c>
      <c r="J134" s="9">
        <v>1.2579327246048531</v>
      </c>
      <c r="K134" s="9">
        <v>1.2579327246048531</v>
      </c>
      <c r="L134" s="10">
        <v>5.1836589811662863</v>
      </c>
      <c r="M134" s="10">
        <v>6.4909328589610391</v>
      </c>
      <c r="N134" s="10">
        <v>5.1836589811662863</v>
      </c>
      <c r="P134" s="8" t="s">
        <v>83</v>
      </c>
      <c r="Q134" s="8" t="s">
        <v>414</v>
      </c>
      <c r="S134" t="s">
        <v>141</v>
      </c>
      <c r="T134" t="s">
        <v>142</v>
      </c>
      <c r="U134" s="3">
        <v>7.262455748276607</v>
      </c>
      <c r="V134" s="3">
        <v>6.4909328589610391</v>
      </c>
      <c r="W134" t="s">
        <v>415</v>
      </c>
    </row>
    <row r="135" spans="1:23" ht="35.25" customHeight="1">
      <c r="A135" s="8" t="s">
        <v>416</v>
      </c>
      <c r="B135" s="8" t="s">
        <v>417</v>
      </c>
      <c r="C135" s="8" t="s">
        <v>44</v>
      </c>
      <c r="D135" s="8" t="s">
        <v>159</v>
      </c>
      <c r="F135" s="11">
        <v>5</v>
      </c>
      <c r="I135" s="9">
        <v>0.26666780627131781</v>
      </c>
      <c r="J135" s="9">
        <v>6.6783823258531883E-2</v>
      </c>
      <c r="K135" s="9">
        <v>0.33391911629265941</v>
      </c>
      <c r="L135" s="10">
        <v>1.3760058803599999</v>
      </c>
      <c r="M135" s="10">
        <v>1.723022640070123</v>
      </c>
      <c r="N135" s="10">
        <v>0.27520117607200001</v>
      </c>
      <c r="P135" s="8" t="s">
        <v>83</v>
      </c>
      <c r="Q135" s="8" t="s">
        <v>418</v>
      </c>
      <c r="S135" t="s">
        <v>141</v>
      </c>
      <c r="T135" t="s">
        <v>142</v>
      </c>
      <c r="U135" s="3">
        <v>1.568075046137942</v>
      </c>
      <c r="V135" s="3">
        <v>1.723022640070123</v>
      </c>
      <c r="W135" t="s">
        <v>419</v>
      </c>
    </row>
    <row r="136" spans="1:23" ht="35.25" customHeight="1">
      <c r="A136" s="8" t="s">
        <v>420</v>
      </c>
      <c r="B136" s="8" t="s">
        <v>421</v>
      </c>
      <c r="C136" s="8" t="s">
        <v>81</v>
      </c>
      <c r="D136" s="8" t="s">
        <v>82</v>
      </c>
      <c r="F136" s="11">
        <v>1</v>
      </c>
      <c r="I136" s="9">
        <v>7.2609750276235466E-2</v>
      </c>
      <c r="J136" s="9">
        <v>9.0921300120505213E-2</v>
      </c>
      <c r="K136" s="9">
        <v>9.0921300120505213E-2</v>
      </c>
      <c r="L136" s="10">
        <v>0.37466631142537499</v>
      </c>
      <c r="M136" s="10">
        <v>0.46915390862180689</v>
      </c>
      <c r="N136" s="10">
        <v>0.37466631142537499</v>
      </c>
      <c r="P136" s="8" t="s">
        <v>83</v>
      </c>
      <c r="Q136" s="8" t="s">
        <v>422</v>
      </c>
    </row>
    <row r="137" spans="1:23" ht="35.25" customHeight="1">
      <c r="A137" s="8" t="s">
        <v>423</v>
      </c>
      <c r="B137" s="8" t="s">
        <v>424</v>
      </c>
      <c r="C137" s="8" t="s">
        <v>44</v>
      </c>
      <c r="D137" s="8" t="s">
        <v>69</v>
      </c>
      <c r="F137" s="11">
        <v>1</v>
      </c>
      <c r="G137" s="9">
        <v>0.01</v>
      </c>
      <c r="I137" s="9">
        <v>1.6103514400000001E-2</v>
      </c>
      <c r="J137" s="9">
        <v>2.0164681192086149E-2</v>
      </c>
      <c r="K137" s="9">
        <v>2.0164681192086149E-2</v>
      </c>
      <c r="L137" s="10">
        <v>8.3094134303999992E-2</v>
      </c>
      <c r="M137" s="10">
        <v>0.1040497549511645</v>
      </c>
      <c r="P137" s="8" t="s">
        <v>46</v>
      </c>
      <c r="Q137" s="8" t="s">
        <v>425</v>
      </c>
      <c r="S137" t="s">
        <v>74</v>
      </c>
      <c r="T137" t="s">
        <v>426</v>
      </c>
      <c r="U137" s="3"/>
      <c r="V137" s="3"/>
      <c r="W137" t="s">
        <v>427</v>
      </c>
    </row>
    <row r="138" spans="1:23" ht="35.25" customHeight="1">
      <c r="A138" s="8" t="s">
        <v>428</v>
      </c>
      <c r="B138" s="8" t="s">
        <v>429</v>
      </c>
      <c r="C138" s="8" t="s">
        <v>44</v>
      </c>
      <c r="D138" s="8" t="s">
        <v>69</v>
      </c>
      <c r="F138" s="11">
        <v>1</v>
      </c>
      <c r="G138" s="9">
        <v>0.01</v>
      </c>
      <c r="I138" s="9">
        <v>1.6103514400000001E-2</v>
      </c>
      <c r="J138" s="9">
        <v>2.0164681192086149E-2</v>
      </c>
      <c r="K138" s="9">
        <v>2.0164681192086149E-2</v>
      </c>
      <c r="L138" s="10">
        <v>8.3094134303999992E-2</v>
      </c>
      <c r="M138" s="10">
        <v>0.1040497549511645</v>
      </c>
      <c r="P138" s="8" t="s">
        <v>46</v>
      </c>
      <c r="Q138" s="8" t="s">
        <v>425</v>
      </c>
      <c r="S138" t="s">
        <v>74</v>
      </c>
      <c r="T138" t="s">
        <v>426</v>
      </c>
      <c r="U138" s="3"/>
      <c r="V138" s="3"/>
      <c r="W138" t="s">
        <v>427</v>
      </c>
    </row>
    <row r="139" spans="1:23" ht="35.25" customHeight="1">
      <c r="A139" s="8" t="s">
        <v>430</v>
      </c>
      <c r="B139" s="8" t="s">
        <v>431</v>
      </c>
      <c r="C139" s="8" t="s">
        <v>59</v>
      </c>
      <c r="D139" s="8" t="s">
        <v>93</v>
      </c>
      <c r="F139" s="11">
        <v>1</v>
      </c>
      <c r="I139" s="9">
        <v>0</v>
      </c>
      <c r="J139" s="9">
        <v>0</v>
      </c>
      <c r="K139" s="9">
        <v>0</v>
      </c>
      <c r="L139" s="10">
        <v>0</v>
      </c>
      <c r="M139" s="10">
        <v>0</v>
      </c>
      <c r="P139" s="8" t="s">
        <v>432</v>
      </c>
      <c r="Q139" s="8" t="s">
        <v>425</v>
      </c>
    </row>
    <row r="140" spans="1:23" ht="35.25" customHeight="1">
      <c r="A140" s="8" t="s">
        <v>433</v>
      </c>
      <c r="B140" s="8" t="s">
        <v>434</v>
      </c>
      <c r="C140" s="8" t="s">
        <v>81</v>
      </c>
      <c r="D140" s="8" t="s">
        <v>82</v>
      </c>
      <c r="F140" s="11">
        <v>16</v>
      </c>
      <c r="P140" s="8" t="s">
        <v>435</v>
      </c>
      <c r="Q140" s="8" t="s">
        <v>425</v>
      </c>
    </row>
    <row r="141" spans="1:23" ht="35.25" customHeight="1">
      <c r="A141" s="8" t="s">
        <v>436</v>
      </c>
      <c r="B141" s="8" t="s">
        <v>437</v>
      </c>
      <c r="C141" s="8" t="s">
        <v>81</v>
      </c>
      <c r="D141" s="8" t="s">
        <v>82</v>
      </c>
      <c r="F141" s="11">
        <v>2</v>
      </c>
      <c r="P141" s="8" t="s">
        <v>435</v>
      </c>
      <c r="Q141" s="8" t="s">
        <v>425</v>
      </c>
    </row>
    <row r="142" spans="1:23" ht="35.25" customHeight="1">
      <c r="A142" s="8" t="s">
        <v>438</v>
      </c>
      <c r="B142" s="8" t="s">
        <v>439</v>
      </c>
      <c r="C142" s="8" t="s">
        <v>81</v>
      </c>
      <c r="D142" s="8" t="s">
        <v>82</v>
      </c>
      <c r="F142" s="11">
        <v>1</v>
      </c>
      <c r="P142" s="8" t="s">
        <v>435</v>
      </c>
      <c r="Q142" s="8" t="s">
        <v>425</v>
      </c>
    </row>
    <row r="143" spans="1:23" ht="35.25" customHeight="1">
      <c r="A143" s="8" t="s">
        <v>440</v>
      </c>
      <c r="B143" s="8" t="s">
        <v>441</v>
      </c>
      <c r="C143" s="8" t="s">
        <v>81</v>
      </c>
      <c r="D143" s="8" t="s">
        <v>82</v>
      </c>
      <c r="F143" s="11">
        <v>1</v>
      </c>
      <c r="P143" s="8" t="s">
        <v>435</v>
      </c>
      <c r="Q143" s="8" t="s">
        <v>425</v>
      </c>
    </row>
    <row r="144" spans="1:23" ht="35.25" customHeight="1">
      <c r="A144" s="8" t="s">
        <v>442</v>
      </c>
      <c r="B144" s="8" t="s">
        <v>442</v>
      </c>
      <c r="C144" s="8" t="s">
        <v>81</v>
      </c>
      <c r="D144" s="8" t="s">
        <v>82</v>
      </c>
      <c r="F144" s="11">
        <v>3</v>
      </c>
      <c r="P144" s="8" t="s">
        <v>435</v>
      </c>
      <c r="Q144" s="8" t="s">
        <v>443</v>
      </c>
    </row>
    <row r="145" spans="1:17" ht="35.25" customHeight="1">
      <c r="A145" s="8" t="s">
        <v>444</v>
      </c>
      <c r="B145" s="8" t="s">
        <v>445</v>
      </c>
      <c r="C145" s="8" t="s">
        <v>81</v>
      </c>
      <c r="D145" s="8" t="s">
        <v>44</v>
      </c>
      <c r="F145" s="11">
        <v>1</v>
      </c>
      <c r="P145" s="8" t="s">
        <v>435</v>
      </c>
      <c r="Q145" s="8" t="s">
        <v>425</v>
      </c>
    </row>
    <row r="146" spans="1:17" ht="35.25" customHeight="1">
      <c r="A146" s="8" t="s">
        <v>446</v>
      </c>
      <c r="B146" s="8" t="s">
        <v>447</v>
      </c>
      <c r="C146" s="8" t="s">
        <v>81</v>
      </c>
      <c r="D146" s="8" t="s">
        <v>82</v>
      </c>
      <c r="F146" s="11">
        <v>1</v>
      </c>
      <c r="P146" s="8" t="s">
        <v>435</v>
      </c>
      <c r="Q146" s="8" t="s">
        <v>425</v>
      </c>
    </row>
    <row r="147" spans="1:17" ht="35.25" customHeight="1">
      <c r="A147" s="8" t="s">
        <v>448</v>
      </c>
      <c r="B147" s="8" t="s">
        <v>449</v>
      </c>
      <c r="C147" s="8" t="s">
        <v>81</v>
      </c>
      <c r="D147" s="8" t="s">
        <v>82</v>
      </c>
      <c r="F147" s="11">
        <v>1</v>
      </c>
      <c r="P147" s="8" t="s">
        <v>435</v>
      </c>
      <c r="Q147" s="8" t="s">
        <v>425</v>
      </c>
    </row>
    <row r="148" spans="1:17" ht="35.25" customHeight="1">
      <c r="A148" s="8" t="s">
        <v>450</v>
      </c>
      <c r="B148" s="8" t="s">
        <v>451</v>
      </c>
      <c r="C148" s="8" t="s">
        <v>81</v>
      </c>
      <c r="D148" s="8" t="s">
        <v>82</v>
      </c>
      <c r="F148" s="11">
        <v>1</v>
      </c>
      <c r="P148" s="8" t="s">
        <v>435</v>
      </c>
      <c r="Q148" s="8" t="s">
        <v>425</v>
      </c>
    </row>
    <row r="149" spans="1:17" ht="35.25" customHeight="1">
      <c r="A149" s="8" t="s">
        <v>452</v>
      </c>
      <c r="B149" s="8" t="s">
        <v>453</v>
      </c>
      <c r="C149" s="8" t="s">
        <v>81</v>
      </c>
      <c r="D149" s="8" t="s">
        <v>82</v>
      </c>
      <c r="F149" s="11">
        <v>1</v>
      </c>
      <c r="P149" s="8" t="s">
        <v>435</v>
      </c>
      <c r="Q149" s="8" t="s">
        <v>454</v>
      </c>
    </row>
    <row r="150" spans="1:17" ht="35.25" customHeight="1">
      <c r="A150" s="8" t="s">
        <v>455</v>
      </c>
      <c r="B150" s="8" t="s">
        <v>456</v>
      </c>
      <c r="C150" s="8" t="s">
        <v>81</v>
      </c>
      <c r="D150" s="8" t="s">
        <v>82</v>
      </c>
      <c r="F150" s="11">
        <v>1</v>
      </c>
      <c r="P150" s="8" t="s">
        <v>435</v>
      </c>
      <c r="Q150" s="8" t="s">
        <v>425</v>
      </c>
    </row>
    <row r="151" spans="1:17" ht="35.25" customHeight="1">
      <c r="A151" s="8" t="s">
        <v>457</v>
      </c>
      <c r="B151" s="8" t="s">
        <v>458</v>
      </c>
      <c r="C151" s="8" t="s">
        <v>81</v>
      </c>
      <c r="D151" s="8" t="s">
        <v>82</v>
      </c>
      <c r="F151" s="11">
        <v>1</v>
      </c>
      <c r="P151" s="8" t="s">
        <v>435</v>
      </c>
      <c r="Q151" s="8" t="s">
        <v>425</v>
      </c>
    </row>
    <row r="152" spans="1:17" ht="35.25" customHeight="1">
      <c r="A152" s="8" t="s">
        <v>459</v>
      </c>
      <c r="B152" s="8" t="s">
        <v>235</v>
      </c>
      <c r="C152" s="8" t="s">
        <v>81</v>
      </c>
      <c r="D152" s="8" t="s">
        <v>82</v>
      </c>
      <c r="F152" s="11">
        <v>2</v>
      </c>
      <c r="P152" s="8" t="s">
        <v>435</v>
      </c>
      <c r="Q152" s="8" t="s">
        <v>425</v>
      </c>
    </row>
    <row r="153" spans="1:17" ht="35.25" customHeight="1">
      <c r="A153" s="8" t="s">
        <v>460</v>
      </c>
      <c r="B153" s="8" t="s">
        <v>461</v>
      </c>
      <c r="C153" s="8" t="s">
        <v>81</v>
      </c>
      <c r="D153" s="8" t="s">
        <v>82</v>
      </c>
      <c r="F153" s="11">
        <v>3</v>
      </c>
      <c r="P153" s="8" t="s">
        <v>435</v>
      </c>
      <c r="Q153" s="8" t="s">
        <v>425</v>
      </c>
    </row>
    <row r="154" spans="1:17" ht="35.25" customHeight="1">
      <c r="A154" s="8" t="s">
        <v>462</v>
      </c>
      <c r="B154" s="8" t="s">
        <v>463</v>
      </c>
      <c r="C154" s="8" t="s">
        <v>81</v>
      </c>
      <c r="D154" s="8" t="s">
        <v>82</v>
      </c>
      <c r="F154" s="11">
        <v>1</v>
      </c>
      <c r="P154" s="8" t="s">
        <v>435</v>
      </c>
      <c r="Q154" s="8" t="s">
        <v>425</v>
      </c>
    </row>
    <row r="155" spans="1:17" ht="35.25" customHeight="1">
      <c r="A155" s="8" t="s">
        <v>464</v>
      </c>
      <c r="B155" s="8" t="s">
        <v>465</v>
      </c>
      <c r="C155" s="8" t="s">
        <v>81</v>
      </c>
      <c r="D155" s="8" t="s">
        <v>82</v>
      </c>
      <c r="F155" s="11">
        <v>1</v>
      </c>
      <c r="P155" s="8" t="s">
        <v>435</v>
      </c>
      <c r="Q155" s="8" t="s">
        <v>425</v>
      </c>
    </row>
    <row r="156" spans="1:17" ht="35.25" customHeight="1">
      <c r="A156" s="8" t="s">
        <v>466</v>
      </c>
      <c r="B156" s="8" t="s">
        <v>467</v>
      </c>
      <c r="C156" s="8" t="s">
        <v>81</v>
      </c>
      <c r="D156" s="8" t="s">
        <v>82</v>
      </c>
      <c r="F156" s="11">
        <v>17</v>
      </c>
      <c r="P156" s="8" t="s">
        <v>435</v>
      </c>
      <c r="Q156" s="8" t="s">
        <v>425</v>
      </c>
    </row>
    <row r="157" spans="1:17" ht="35.25" customHeight="1">
      <c r="A157" s="8" t="s">
        <v>468</v>
      </c>
      <c r="B157" s="8" t="s">
        <v>469</v>
      </c>
      <c r="C157" s="8" t="s">
        <v>81</v>
      </c>
      <c r="D157" s="8" t="s">
        <v>470</v>
      </c>
      <c r="F157" s="11">
        <v>3</v>
      </c>
      <c r="P157" s="8" t="s">
        <v>435</v>
      </c>
      <c r="Q157" s="8" t="s">
        <v>425</v>
      </c>
    </row>
    <row r="158" spans="1:17" ht="35.25" customHeight="1">
      <c r="A158" s="8" t="s">
        <v>471</v>
      </c>
      <c r="B158" s="8" t="s">
        <v>472</v>
      </c>
      <c r="C158" s="8" t="s">
        <v>81</v>
      </c>
      <c r="D158" s="8" t="s">
        <v>473</v>
      </c>
      <c r="F158" s="11">
        <v>2</v>
      </c>
      <c r="P158" s="8" t="s">
        <v>435</v>
      </c>
      <c r="Q158" s="8" t="s">
        <v>425</v>
      </c>
    </row>
    <row r="159" spans="1:17" ht="35.25" customHeight="1">
      <c r="A159" s="8" t="s">
        <v>474</v>
      </c>
      <c r="B159" s="8" t="s">
        <v>475</v>
      </c>
      <c r="C159" s="8" t="s">
        <v>81</v>
      </c>
      <c r="D159" s="8" t="s">
        <v>476</v>
      </c>
      <c r="F159" s="11">
        <v>1</v>
      </c>
      <c r="P159" s="8" t="s">
        <v>435</v>
      </c>
      <c r="Q159" s="8" t="s">
        <v>425</v>
      </c>
    </row>
    <row r="160" spans="1:17" ht="35.25" customHeight="1">
      <c r="A160" s="8" t="s">
        <v>477</v>
      </c>
      <c r="B160" s="8" t="s">
        <v>478</v>
      </c>
      <c r="C160" s="8" t="s">
        <v>81</v>
      </c>
      <c r="D160" s="8" t="s">
        <v>476</v>
      </c>
      <c r="F160" s="11">
        <v>2</v>
      </c>
      <c r="P160" s="8" t="s">
        <v>435</v>
      </c>
      <c r="Q160" s="8" t="s">
        <v>425</v>
      </c>
    </row>
    <row r="161" spans="1:17" ht="35.25" customHeight="1">
      <c r="B161" s="8" t="s">
        <v>479</v>
      </c>
      <c r="C161" s="8" t="s">
        <v>81</v>
      </c>
      <c r="D161" s="8" t="s">
        <v>82</v>
      </c>
      <c r="F161" s="11">
        <v>1</v>
      </c>
      <c r="P161" s="8" t="s">
        <v>435</v>
      </c>
      <c r="Q161" s="8" t="s">
        <v>425</v>
      </c>
    </row>
    <row r="162" spans="1:17" ht="35.25" customHeight="1">
      <c r="A162" s="8" t="s">
        <v>480</v>
      </c>
      <c r="B162" s="8" t="s">
        <v>481</v>
      </c>
      <c r="C162" s="8" t="s">
        <v>81</v>
      </c>
      <c r="D162" s="8" t="s">
        <v>82</v>
      </c>
      <c r="F162" s="11">
        <v>3</v>
      </c>
      <c r="P162" s="8" t="s">
        <v>435</v>
      </c>
      <c r="Q162" s="8" t="s">
        <v>425</v>
      </c>
    </row>
    <row r="163" spans="1:17" ht="35.25" customHeight="1">
      <c r="A163" s="8" t="s">
        <v>482</v>
      </c>
      <c r="B163" s="8" t="s">
        <v>483</v>
      </c>
      <c r="C163" s="8" t="s">
        <v>81</v>
      </c>
      <c r="D163" s="8" t="s">
        <v>484</v>
      </c>
      <c r="F163" s="11">
        <v>1</v>
      </c>
      <c r="P163" s="8" t="s">
        <v>435</v>
      </c>
      <c r="Q163" t="s">
        <v>485</v>
      </c>
    </row>
  </sheetData>
  <autoFilter ref="A1:P165" xr:uid="{00000000-0009-0000-0000-000001000000}">
    <sortState xmlns:xlrd2="http://schemas.microsoft.com/office/spreadsheetml/2017/richdata2" ref="A2:P163">
      <sortCondition descending="1" ref="I1:I165"/>
    </sortState>
  </autoFilter>
  <pageMargins left="0.75" right="0.75" top="1" bottom="1" header="0.5" footer="0.5"/>
  <headerFooter>
    <oddHeader>&amp;R&amp;"Aptos"&amp;1 &amp;K000000 1 - General Business#_x000D_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1" topLeftCell="A2" activePane="bottomLeft" state="frozen"/>
      <selection pane="bottomLeft" activeCell="F19" sqref="F19"/>
    </sheetView>
  </sheetViews>
  <sheetFormatPr defaultRowHeight="15"/>
  <cols>
    <col min="1" max="1" width="38" customWidth="1"/>
    <col min="2" max="2" width="80" customWidth="1"/>
    <col min="3" max="3" width="19" customWidth="1"/>
    <col min="4" max="4" width="28" customWidth="1"/>
    <col min="5" max="5" width="44.85546875" bestFit="1" customWidth="1"/>
    <col min="6" max="6" width="42" customWidth="1"/>
    <col min="7" max="7" width="77" customWidth="1"/>
  </cols>
  <sheetData>
    <row r="1" spans="1:7">
      <c r="A1" s="2" t="s">
        <v>486</v>
      </c>
      <c r="B1" s="2" t="s">
        <v>487</v>
      </c>
      <c r="C1" s="2" t="s">
        <v>488</v>
      </c>
      <c r="D1" s="2" t="s">
        <v>489</v>
      </c>
      <c r="E1" s="2" t="s">
        <v>490</v>
      </c>
      <c r="F1" s="2" t="s">
        <v>491</v>
      </c>
      <c r="G1" s="2" t="s">
        <v>492</v>
      </c>
    </row>
    <row r="2" spans="1:7">
      <c r="A2" t="s">
        <v>493</v>
      </c>
      <c r="B2" t="s">
        <v>494</v>
      </c>
      <c r="C2" s="3">
        <v>70000</v>
      </c>
      <c r="D2" s="4">
        <v>13565.891472868219</v>
      </c>
      <c r="E2" s="3">
        <v>87653.393438517407</v>
      </c>
      <c r="F2" s="4">
        <v>16987.09175165066</v>
      </c>
      <c r="G2" t="s">
        <v>495</v>
      </c>
    </row>
    <row r="3" spans="1:7">
      <c r="A3" t="s">
        <v>493</v>
      </c>
      <c r="B3" t="s">
        <v>496</v>
      </c>
      <c r="C3" s="3">
        <v>25000</v>
      </c>
      <c r="D3" s="4">
        <v>4844.9612403100773</v>
      </c>
      <c r="E3" s="3">
        <v>31304.783370899069</v>
      </c>
      <c r="F3" s="4">
        <v>6066.8184827323776</v>
      </c>
      <c r="G3" t="s">
        <v>497</v>
      </c>
    </row>
    <row r="4" spans="1:7">
      <c r="A4" t="s">
        <v>493</v>
      </c>
      <c r="B4" t="s">
        <v>498</v>
      </c>
      <c r="C4" s="3">
        <v>25000</v>
      </c>
      <c r="D4" s="4">
        <v>4844.9612403100773</v>
      </c>
      <c r="E4" s="3">
        <v>31304.783370899069</v>
      </c>
      <c r="F4" s="4">
        <v>6066.8184827323776</v>
      </c>
      <c r="G4" t="s">
        <v>499</v>
      </c>
    </row>
    <row r="5" spans="1:7">
      <c r="A5" t="s">
        <v>493</v>
      </c>
      <c r="B5" t="s">
        <v>500</v>
      </c>
      <c r="C5" s="3">
        <v>5000</v>
      </c>
      <c r="D5" s="4">
        <v>968.99224806201551</v>
      </c>
      <c r="E5" s="3">
        <v>6260.9566741798144</v>
      </c>
      <c r="F5" s="4">
        <v>1213.3636965464759</v>
      </c>
      <c r="G5" t="s">
        <v>501</v>
      </c>
    </row>
    <row r="6" spans="1:7">
      <c r="A6" t="s">
        <v>493</v>
      </c>
      <c r="B6" t="s">
        <v>502</v>
      </c>
      <c r="C6" s="3">
        <v>60000</v>
      </c>
      <c r="D6" s="4">
        <v>11627.906976744191</v>
      </c>
      <c r="E6" s="3">
        <v>75131.480090157769</v>
      </c>
      <c r="F6" s="4">
        <v>14560.36435855771</v>
      </c>
      <c r="G6" t="s">
        <v>503</v>
      </c>
    </row>
    <row r="7" spans="1:7">
      <c r="A7" t="s">
        <v>493</v>
      </c>
      <c r="B7" t="s">
        <v>504</v>
      </c>
      <c r="C7" s="3">
        <v>100000</v>
      </c>
      <c r="D7" s="4">
        <v>19379.844961240309</v>
      </c>
      <c r="E7" s="3">
        <v>125219.13348359631</v>
      </c>
      <c r="F7" s="4">
        <v>24267.27393092951</v>
      </c>
      <c r="G7" t="s">
        <v>505</v>
      </c>
    </row>
    <row r="8" spans="1:7">
      <c r="A8" t="s">
        <v>493</v>
      </c>
      <c r="B8" t="s">
        <v>506</v>
      </c>
      <c r="C8" s="3">
        <v>100000</v>
      </c>
      <c r="D8" s="4">
        <v>19379.844961240309</v>
      </c>
      <c r="E8" s="3">
        <v>125219.13348359631</v>
      </c>
      <c r="F8" s="4">
        <v>24267.27393092951</v>
      </c>
      <c r="G8" t="s">
        <v>507</v>
      </c>
    </row>
    <row r="9" spans="1:7">
      <c r="A9" t="s">
        <v>493</v>
      </c>
      <c r="B9" t="s">
        <v>508</v>
      </c>
      <c r="C9" s="3">
        <v>12500</v>
      </c>
      <c r="D9" s="4">
        <v>2422.4806201550391</v>
      </c>
      <c r="E9" s="3">
        <v>15652.39168544954</v>
      </c>
      <c r="F9" s="4">
        <v>3033.4092413661888</v>
      </c>
      <c r="G9" t="s">
        <v>509</v>
      </c>
    </row>
    <row r="10" spans="1:7">
      <c r="A10" t="s">
        <v>493</v>
      </c>
      <c r="B10" t="s">
        <v>510</v>
      </c>
      <c r="C10" s="3">
        <v>5000</v>
      </c>
      <c r="D10" s="4">
        <v>968.99224806201551</v>
      </c>
      <c r="E10" s="3">
        <v>6260.9566741798144</v>
      </c>
      <c r="F10" s="4">
        <v>1213.3636965464759</v>
      </c>
      <c r="G10" t="s">
        <v>511</v>
      </c>
    </row>
    <row r="11" spans="1:7">
      <c r="A11" t="s">
        <v>493</v>
      </c>
      <c r="B11" t="s">
        <v>512</v>
      </c>
      <c r="C11" s="3">
        <v>10000</v>
      </c>
      <c r="D11" s="4">
        <v>1937.984496124031</v>
      </c>
      <c r="E11" s="3">
        <v>12521.913348359631</v>
      </c>
      <c r="F11" s="4">
        <v>2426.7273930929509</v>
      </c>
      <c r="G11" t="s">
        <v>513</v>
      </c>
    </row>
    <row r="12" spans="1:7">
      <c r="A12" t="s">
        <v>514</v>
      </c>
      <c r="B12" t="s">
        <v>515</v>
      </c>
      <c r="C12" s="3">
        <v>122752</v>
      </c>
      <c r="D12" s="4">
        <v>23789.14728682171</v>
      </c>
      <c r="E12" s="3">
        <v>153708.9907337841</v>
      </c>
      <c r="F12" s="4">
        <v>29788.564095694601</v>
      </c>
      <c r="G12" t="s">
        <v>516</v>
      </c>
    </row>
    <row r="13" spans="1:7">
      <c r="A13" t="s">
        <v>514</v>
      </c>
      <c r="B13" t="s">
        <v>517</v>
      </c>
      <c r="C13" s="3">
        <v>39424</v>
      </c>
      <c r="D13" s="4">
        <v>7640.3100775193798</v>
      </c>
      <c r="E13" s="3">
        <v>49366.391184573004</v>
      </c>
      <c r="F13" s="4">
        <v>9567.1300745296521</v>
      </c>
      <c r="G13" t="s">
        <v>518</v>
      </c>
    </row>
    <row r="14" spans="1:7">
      <c r="A14" t="s">
        <v>514</v>
      </c>
      <c r="B14" t="s">
        <v>519</v>
      </c>
      <c r="C14" s="3">
        <v>44352</v>
      </c>
      <c r="D14" s="4">
        <v>8595.3488372093016</v>
      </c>
      <c r="E14" s="3">
        <v>55537.190082644629</v>
      </c>
      <c r="F14" s="4">
        <v>10763.02133384586</v>
      </c>
      <c r="G14" t="s">
        <v>520</v>
      </c>
    </row>
    <row r="15" spans="1:7">
      <c r="A15" t="s">
        <v>514</v>
      </c>
      <c r="B15" t="s">
        <v>521</v>
      </c>
      <c r="C15" s="3">
        <v>20000</v>
      </c>
      <c r="D15" s="4">
        <v>3875.968992248062</v>
      </c>
      <c r="E15" s="3">
        <v>25043.826696719261</v>
      </c>
      <c r="F15" s="4">
        <v>4853.4547861859028</v>
      </c>
      <c r="G15" t="s">
        <v>522</v>
      </c>
    </row>
    <row r="16" spans="1:7">
      <c r="A16" t="s">
        <v>514</v>
      </c>
      <c r="B16" t="s">
        <v>523</v>
      </c>
      <c r="C16" s="3">
        <v>2000</v>
      </c>
      <c r="D16" s="4">
        <v>387.59689922480618</v>
      </c>
      <c r="E16" s="3">
        <v>2504.3826696719261</v>
      </c>
      <c r="F16" s="4">
        <v>485.34547861859022</v>
      </c>
      <c r="G16" t="s">
        <v>524</v>
      </c>
    </row>
    <row r="17" spans="1:7">
      <c r="A17" t="s">
        <v>514</v>
      </c>
      <c r="B17" t="s">
        <v>525</v>
      </c>
      <c r="C17" s="3">
        <v>39000</v>
      </c>
      <c r="D17" s="4">
        <v>7558.1395348837204</v>
      </c>
      <c r="E17" s="3">
        <v>48835.462058602563</v>
      </c>
      <c r="F17" s="4">
        <v>9464.2368330625104</v>
      </c>
      <c r="G17" t="s">
        <v>526</v>
      </c>
    </row>
    <row r="18" spans="1:7">
      <c r="A18" t="s">
        <v>514</v>
      </c>
      <c r="B18" t="s">
        <v>527</v>
      </c>
      <c r="C18" s="3">
        <v>27762.6</v>
      </c>
      <c r="D18" s="4">
        <v>5380.3488372093016</v>
      </c>
      <c r="E18" s="3">
        <v>34764.087152516913</v>
      </c>
      <c r="F18" s="4">
        <v>6737.2261923482374</v>
      </c>
      <c r="G18" t="s">
        <v>528</v>
      </c>
    </row>
    <row r="19" spans="1:7">
      <c r="A19" s="1" t="s">
        <v>529</v>
      </c>
      <c r="B19" s="1" t="s">
        <v>530</v>
      </c>
      <c r="C19" s="5">
        <v>707790.6</v>
      </c>
      <c r="D19" s="6">
        <v>137168.72093023261</v>
      </c>
      <c r="E19" s="5">
        <v>886289.25619834696</v>
      </c>
      <c r="F19" s="6">
        <v>171761.48375936961</v>
      </c>
      <c r="G19" s="1" t="s">
        <v>531</v>
      </c>
    </row>
  </sheetData>
  <pageMargins left="0.75" right="0.75" top="1" bottom="1" header="0.5" footer="0.5"/>
  <headerFooter>
    <oddHeader>&amp;R&amp;"Aptos"&amp;1 &amp;K000000 1 - General Business#_x000D_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activeCell="E1" sqref="E1:E1048576"/>
    </sheetView>
  </sheetViews>
  <sheetFormatPr defaultRowHeight="15"/>
  <cols>
    <col min="1" max="1" width="23.140625" bestFit="1" customWidth="1"/>
    <col min="2" max="2" width="50.85546875" bestFit="1" customWidth="1"/>
    <col min="3" max="3" width="14.140625" bestFit="1" customWidth="1"/>
    <col min="4" max="4" width="33" bestFit="1" customWidth="1"/>
  </cols>
  <sheetData>
    <row r="1" spans="1:5">
      <c r="A1" t="s">
        <v>21</v>
      </c>
      <c r="B1" t="s">
        <v>22</v>
      </c>
      <c r="C1" t="s">
        <v>23</v>
      </c>
      <c r="D1" t="s">
        <v>532</v>
      </c>
      <c r="E1" t="s">
        <v>36</v>
      </c>
    </row>
    <row r="2" spans="1:5">
      <c r="A2" t="s">
        <v>433</v>
      </c>
      <c r="B2" t="s">
        <v>434</v>
      </c>
      <c r="C2" t="s">
        <v>81</v>
      </c>
      <c r="D2" t="s">
        <v>82</v>
      </c>
      <c r="E2" t="s">
        <v>425</v>
      </c>
    </row>
    <row r="3" spans="1:5">
      <c r="A3" t="s">
        <v>436</v>
      </c>
      <c r="B3" t="s">
        <v>437</v>
      </c>
      <c r="C3" t="s">
        <v>81</v>
      </c>
      <c r="D3" t="s">
        <v>82</v>
      </c>
      <c r="E3" t="s">
        <v>425</v>
      </c>
    </row>
    <row r="4" spans="1:5">
      <c r="A4" t="s">
        <v>438</v>
      </c>
      <c r="B4" t="s">
        <v>439</v>
      </c>
      <c r="C4" t="s">
        <v>81</v>
      </c>
      <c r="D4" t="s">
        <v>82</v>
      </c>
      <c r="E4" t="s">
        <v>425</v>
      </c>
    </row>
    <row r="5" spans="1:5">
      <c r="A5" t="s">
        <v>440</v>
      </c>
      <c r="B5" t="s">
        <v>441</v>
      </c>
      <c r="C5" t="s">
        <v>81</v>
      </c>
      <c r="D5" t="s">
        <v>82</v>
      </c>
      <c r="E5" t="s">
        <v>425</v>
      </c>
    </row>
    <row r="6" spans="1:5">
      <c r="A6" t="s">
        <v>442</v>
      </c>
      <c r="B6" t="s">
        <v>442</v>
      </c>
      <c r="C6" t="s">
        <v>81</v>
      </c>
      <c r="D6" t="s">
        <v>82</v>
      </c>
      <c r="E6" t="s">
        <v>425</v>
      </c>
    </row>
    <row r="7" spans="1:5">
      <c r="A7" t="s">
        <v>444</v>
      </c>
      <c r="B7" t="s">
        <v>445</v>
      </c>
      <c r="C7" t="s">
        <v>81</v>
      </c>
      <c r="D7" t="s">
        <v>44</v>
      </c>
      <c r="E7" t="s">
        <v>425</v>
      </c>
    </row>
    <row r="8" spans="1:5">
      <c r="A8" t="s">
        <v>446</v>
      </c>
      <c r="B8" t="s">
        <v>447</v>
      </c>
      <c r="C8" t="s">
        <v>81</v>
      </c>
      <c r="D8" t="s">
        <v>82</v>
      </c>
      <c r="E8" t="s">
        <v>425</v>
      </c>
    </row>
    <row r="9" spans="1:5">
      <c r="A9" t="s">
        <v>448</v>
      </c>
      <c r="B9" t="s">
        <v>449</v>
      </c>
      <c r="C9" t="s">
        <v>81</v>
      </c>
      <c r="D9" t="s">
        <v>82</v>
      </c>
      <c r="E9" t="s">
        <v>425</v>
      </c>
    </row>
    <row r="10" spans="1:5">
      <c r="A10" t="s">
        <v>450</v>
      </c>
      <c r="B10" t="s">
        <v>451</v>
      </c>
      <c r="C10" t="s">
        <v>81</v>
      </c>
      <c r="D10" t="s">
        <v>82</v>
      </c>
      <c r="E10" t="s">
        <v>425</v>
      </c>
    </row>
    <row r="11" spans="1:5">
      <c r="A11" t="s">
        <v>452</v>
      </c>
      <c r="B11" t="s">
        <v>453</v>
      </c>
      <c r="C11" t="s">
        <v>81</v>
      </c>
      <c r="D11" t="s">
        <v>82</v>
      </c>
      <c r="E11" t="s">
        <v>425</v>
      </c>
    </row>
    <row r="12" spans="1:5">
      <c r="A12" t="s">
        <v>455</v>
      </c>
      <c r="B12" t="s">
        <v>456</v>
      </c>
      <c r="C12" t="s">
        <v>81</v>
      </c>
      <c r="D12" t="s">
        <v>82</v>
      </c>
      <c r="E12" t="s">
        <v>425</v>
      </c>
    </row>
    <row r="13" spans="1:5">
      <c r="A13" t="s">
        <v>457</v>
      </c>
      <c r="B13" t="s">
        <v>458</v>
      </c>
      <c r="C13" t="s">
        <v>81</v>
      </c>
      <c r="D13" t="s">
        <v>82</v>
      </c>
      <c r="E13" t="s">
        <v>425</v>
      </c>
    </row>
    <row r="14" spans="1:5">
      <c r="A14" t="s">
        <v>459</v>
      </c>
      <c r="B14" t="s">
        <v>235</v>
      </c>
      <c r="C14" t="s">
        <v>81</v>
      </c>
      <c r="D14" t="s">
        <v>82</v>
      </c>
      <c r="E14" t="s">
        <v>425</v>
      </c>
    </row>
    <row r="15" spans="1:5">
      <c r="A15" t="s">
        <v>460</v>
      </c>
      <c r="B15" t="s">
        <v>461</v>
      </c>
      <c r="C15" t="s">
        <v>81</v>
      </c>
      <c r="D15" t="s">
        <v>82</v>
      </c>
      <c r="E15" t="s">
        <v>425</v>
      </c>
    </row>
    <row r="16" spans="1:5">
      <c r="A16" t="s">
        <v>462</v>
      </c>
      <c r="B16" t="s">
        <v>463</v>
      </c>
      <c r="C16" t="s">
        <v>81</v>
      </c>
      <c r="D16" t="s">
        <v>82</v>
      </c>
      <c r="E16" t="s">
        <v>425</v>
      </c>
    </row>
    <row r="17" spans="1:5">
      <c r="A17" t="s">
        <v>464</v>
      </c>
      <c r="B17" t="s">
        <v>465</v>
      </c>
      <c r="C17" t="s">
        <v>81</v>
      </c>
      <c r="D17" t="s">
        <v>82</v>
      </c>
      <c r="E17" t="s">
        <v>425</v>
      </c>
    </row>
    <row r="18" spans="1:5">
      <c r="A18" t="s">
        <v>466</v>
      </c>
      <c r="B18" t="s">
        <v>467</v>
      </c>
      <c r="C18" t="s">
        <v>81</v>
      </c>
      <c r="D18" t="s">
        <v>82</v>
      </c>
      <c r="E18" t="s">
        <v>425</v>
      </c>
    </row>
    <row r="19" spans="1:5">
      <c r="A19" t="s">
        <v>468</v>
      </c>
      <c r="B19" t="s">
        <v>469</v>
      </c>
      <c r="C19" t="s">
        <v>81</v>
      </c>
      <c r="D19" t="s">
        <v>470</v>
      </c>
      <c r="E19" t="s">
        <v>425</v>
      </c>
    </row>
    <row r="20" spans="1:5">
      <c r="A20" t="s">
        <v>471</v>
      </c>
      <c r="B20" t="s">
        <v>472</v>
      </c>
      <c r="C20" t="s">
        <v>81</v>
      </c>
      <c r="D20" t="s">
        <v>473</v>
      </c>
      <c r="E20" t="s">
        <v>425</v>
      </c>
    </row>
    <row r="21" spans="1:5">
      <c r="A21" t="s">
        <v>474</v>
      </c>
      <c r="B21" t="s">
        <v>475</v>
      </c>
      <c r="C21" t="s">
        <v>81</v>
      </c>
      <c r="D21" t="s">
        <v>476</v>
      </c>
      <c r="E21" t="s">
        <v>425</v>
      </c>
    </row>
    <row r="22" spans="1:5">
      <c r="A22" t="s">
        <v>477</v>
      </c>
      <c r="B22" t="s">
        <v>478</v>
      </c>
      <c r="C22" t="s">
        <v>81</v>
      </c>
      <c r="D22" t="s">
        <v>476</v>
      </c>
      <c r="E22" t="s">
        <v>425</v>
      </c>
    </row>
    <row r="23" spans="1:5">
      <c r="B23" t="s">
        <v>479</v>
      </c>
      <c r="C23" t="s">
        <v>81</v>
      </c>
      <c r="D23" t="s">
        <v>82</v>
      </c>
      <c r="E23" t="s">
        <v>425</v>
      </c>
    </row>
    <row r="24" spans="1:5">
      <c r="A24" t="s">
        <v>480</v>
      </c>
      <c r="B24" t="s">
        <v>481</v>
      </c>
      <c r="C24" t="s">
        <v>81</v>
      </c>
      <c r="D24" t="s">
        <v>82</v>
      </c>
      <c r="E24" t="s">
        <v>425</v>
      </c>
    </row>
    <row r="25" spans="1:5">
      <c r="A25" t="s">
        <v>482</v>
      </c>
      <c r="B25" t="s">
        <v>483</v>
      </c>
      <c r="C25" t="s">
        <v>81</v>
      </c>
      <c r="D25" t="s">
        <v>484</v>
      </c>
      <c r="E25" t="s">
        <v>425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f5eac2-3e64-451d-b651-2e7abb981851" xsi:nil="true"/>
    <lcf76f155ced4ddcb4097134ff3c332f xmlns="c7ed2a41-0d05-4830-9be8-ef371845327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443ABE5BC5944BEFC225C79F84FEA" ma:contentTypeVersion="16" ma:contentTypeDescription="Create a new document." ma:contentTypeScope="" ma:versionID="22fe03371f640d483342dde0ee1be36f">
  <xsd:schema xmlns:xsd="http://www.w3.org/2001/XMLSchema" xmlns:xs="http://www.w3.org/2001/XMLSchema" xmlns:p="http://schemas.microsoft.com/office/2006/metadata/properties" xmlns:ns2="c7ed2a41-0d05-4830-9be8-ef3718453274" xmlns:ns3="fbf5eac2-3e64-451d-b651-2e7abb981851" targetNamespace="http://schemas.microsoft.com/office/2006/metadata/properties" ma:root="true" ma:fieldsID="a984bc889b47e02f36093d342588eafc" ns2:_="" ns3:_="">
    <xsd:import namespace="c7ed2a41-0d05-4830-9be8-ef3718453274"/>
    <xsd:import namespace="fbf5eac2-3e64-451d-b651-2e7abb981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d2a41-0d05-4830-9be8-ef3718453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7124ec-b12e-4cf1-9c98-cf5da65d3d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eac2-3e64-451d-b651-2e7abb981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eb3388-6551-4222-b7a0-8b7a69049f08}" ma:internalName="TaxCatchAll" ma:showField="CatchAllData" ma:web="fbf5eac2-3e64-451d-b651-2e7abb981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26B3A8-CDB4-45D5-B15E-A7A169F9E37C}"/>
</file>

<file path=customXml/itemProps2.xml><?xml version="1.0" encoding="utf-8"?>
<ds:datastoreItem xmlns:ds="http://schemas.openxmlformats.org/officeDocument/2006/customXml" ds:itemID="{043EC61D-1C6A-4745-8037-7EF9E1001413}"/>
</file>

<file path=customXml/itemProps3.xml><?xml version="1.0" encoding="utf-8"?>
<ds:datastoreItem xmlns:ds="http://schemas.openxmlformats.org/officeDocument/2006/customXml" ds:itemID="{21F404C4-EAA6-44EF-B4E2-D43524386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2026-09-15T15:10:48Z</dcterms:created>
  <dcterms:modified xsi:type="dcterms:W3CDTF">2026-09-18T17:06:19Z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2026-09-15T18:16:42Z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3c4f8067-6a9e-4926-a1d7-7db9f9751ac0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  <property fmtid="{D5CDD505-2E9C-101B-9397-08002B2CF9AE}" pid="10" name="ContentTypeId">
    <vt:lpwstr>0x010100A06443ABE5BC5944BEFC225C79F84FEA</vt:lpwstr>
  </property>
</Properties>
</file>