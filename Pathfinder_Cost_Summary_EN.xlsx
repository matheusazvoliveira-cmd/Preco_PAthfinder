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3" autoFilterDateGrouping="1"/>
  </bookViews>
  <sheets>
    <sheet xmlns:r="http://schemas.openxmlformats.org/officeDocument/2006/relationships" name="Item List" sheetId="1" state="visible" r:id="rId1"/>
    <sheet xmlns:r="http://schemas.openxmlformats.org/officeDocument/2006/relationships" name="Executive Summary (P&amp;L)" sheetId="2" state="visible" r:id="rId2"/>
    <sheet xmlns:r="http://schemas.openxmlformats.org/officeDocument/2006/relationships" name="Price Calc Detail" sheetId="3" state="visible" r:id="rId3"/>
    <sheet xmlns:r="http://schemas.openxmlformats.org/officeDocument/2006/relationships" name="Simulation" sheetId="4" state="visible" r:id="rId4"/>
  </sheets>
  <definedNames>
    <definedName name="_xlnm._FilterDatabase" localSheetId="0" hidden="1">'Item List'!$A$3:$M$165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\$\ #,##0.00"/>
    <numFmt numFmtId="165" formatCode="\R\$\ #,##0.00"/>
    <numFmt numFmtId="166" formatCode="0.000"/>
    <numFmt numFmtId="167" formatCode="0.0&quot;x&quot;"/>
  </numFmts>
  <fonts count="1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sz val="12"/>
    </font>
    <font>
      <b val="1"/>
      <sz val="13"/>
    </font>
    <font>
      <i val="1"/>
      <color rgb="FF808080"/>
      <sz val="9"/>
    </font>
    <font>
      <b val="1"/>
    </font>
    <font>
      <b val="1"/>
      <sz val="12"/>
    </font>
    <font>
      <b val="1"/>
      <color rgb="FFFFFFFF"/>
    </font>
    <font>
      <i val="1"/>
      <color rgb="FF808080"/>
      <sz val="8"/>
    </font>
    <font>
      <i val="1"/>
      <color rgb="FFCC0000"/>
      <sz val="9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3" borderId="1" pivotButton="0" quotePrefix="0" xfId="0"/>
    <xf numFmtId="10" fontId="3" fillId="3" borderId="1" pivotButton="0" quotePrefix="0" xfId="0"/>
    <xf numFmtId="0" fontId="4" fillId="0" borderId="0" pivotButton="0" quotePrefix="0" xfId="0"/>
    <xf numFmtId="10" fontId="0" fillId="3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164" fontId="3" fillId="3" borderId="1" pivotButton="0" quotePrefix="0" xfId="0"/>
    <xf numFmtId="164" fontId="6" fillId="4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10" fontId="3" fillId="0" borderId="0" pivotButton="0" quotePrefix="0" xfId="0"/>
    <xf numFmtId="164" fontId="3" fillId="0" borderId="0" pivotButton="0" quotePrefix="0" xfId="0"/>
    <xf numFmtId="2" fontId="0" fillId="0" borderId="0" pivotButton="0" quotePrefix="0" xfId="0"/>
    <xf numFmtId="164" fontId="0" fillId="3" borderId="1" pivotButton="0" quotePrefix="0" xfId="0"/>
    <xf numFmtId="165" fontId="0" fillId="4" borderId="0" pivotButton="0" quotePrefix="0" xfId="0"/>
    <xf numFmtId="164" fontId="0" fillId="4" borderId="0" pivotButton="0" quotePrefix="0" xfId="0"/>
    <xf numFmtId="165" fontId="6" fillId="4" borderId="0" pivotButton="0" quotePrefix="0" xfId="0"/>
    <xf numFmtId="165" fontId="3" fillId="0" borderId="0" pivotButton="0" quotePrefix="0" xfId="0"/>
    <xf numFmtId="167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3" borderId="2" pivotButton="0" quotePrefix="0" xfId="0"/>
    <xf numFmtId="164" fontId="0" fillId="3" borderId="2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vertical="center" wrapText="1"/>
    </xf>
    <xf numFmtId="165" fontId="10" fillId="4" borderId="0" pivotButton="0" quotePrefix="0" xfId="0"/>
    <xf numFmtId="164" fontId="10" fillId="4" borderId="0" pivotButton="0" quotePrefix="0" xfId="0"/>
    <xf numFmtId="165" fontId="10" fillId="0" borderId="0" pivotButton="0" quotePrefix="0" xfId="0"/>
    <xf numFmtId="164" fontId="10" fillId="0" borderId="0" pivotButton="0" quotePrefix="0" xfId="0"/>
    <xf numFmtId="165" fontId="9" fillId="0" borderId="0" pivotButton="0" quotePrefix="0" xfId="0"/>
    <xf numFmtId="167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 wrapText="1"/>
    </xf>
    <xf numFmtId="2" fontId="9" fillId="3" borderId="2" pivotButton="0" quotePrefix="0" xfId="0"/>
    <xf numFmtId="165" fontId="12" fillId="0" borderId="0" pivotButton="0" quotePrefix="0" xfId="0"/>
    <xf numFmtId="0" fontId="13" fillId="0" borderId="0" applyAlignment="1" pivotButton="0" quotePrefix="0" xfId="0">
      <alignment wrapText="1"/>
    </xf>
    <xf numFmtId="0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pane ySplit="3" topLeftCell="A4" activePane="bottomLeft" state="frozen"/>
      <selection pane="bottomLeft" activeCell="A6" sqref="A6"/>
    </sheetView>
  </sheetViews>
  <sheetFormatPr baseColWidth="8" defaultRowHeight="15"/>
  <cols>
    <col width="22" customWidth="1" style="31" min="1" max="1"/>
    <col width="42" customWidth="1" style="31" min="2" max="2"/>
    <col width="26" customWidth="1" style="31" min="3" max="3"/>
    <col width="22" customWidth="1" style="31" min="4" max="4"/>
    <col width="10" customWidth="1" style="31" min="5" max="5"/>
    <col width="20" customWidth="1" style="31" min="6" max="8"/>
    <col width="12" customWidth="1" style="31" min="9" max="9"/>
    <col width="14" customWidth="1" style="31" min="10" max="10"/>
    <col width="12" customWidth="1" style="31" min="11" max="11"/>
    <col width="22" customWidth="1" style="31" min="12" max="12"/>
    <col width="30" customWidth="1" style="31" min="13" max="13"/>
  </cols>
  <sheetData>
    <row r="1" ht="17.25" customHeight="1" s="31">
      <c r="A1" s="30" t="inlineStr">
        <is>
          <t>ITEM LIST - MRS Pathfinder GDT Cost Proposal</t>
        </is>
      </c>
    </row>
    <row r="3" ht="45" customHeight="1" s="31">
      <c r="A3" s="2" t="inlineStr">
        <is>
          <t>Part Number</t>
        </is>
      </c>
      <c r="B3" s="2" t="inlineStr">
        <is>
          <t>Description</t>
        </is>
      </c>
      <c r="C3" s="2" t="inlineStr">
        <is>
          <t>System</t>
        </is>
      </c>
      <c r="D3" s="2" t="inlineStr">
        <is>
          <t>SubSystem</t>
        </is>
      </c>
      <c r="E3" s="2" t="inlineStr">
        <is>
          <t>Quantity</t>
        </is>
      </c>
      <c r="F3" s="2" t="inlineStr">
        <is>
          <t>Cost Source</t>
        </is>
      </c>
      <c r="G3" s="2" t="inlineStr">
        <is>
          <t>Unit Cost USD (Imported items, no markup)</t>
        </is>
      </c>
      <c r="H3" s="2" t="inlineStr">
        <is>
          <t>Unit Cost BRL (PAC items, local nationalized cost)</t>
        </is>
      </c>
      <c r="I3" s="2" t="inlineStr">
        <is>
          <t>Weight (kg)</t>
        </is>
      </c>
      <c r="J3" s="2" t="inlineStr">
        <is>
          <t>Weight Confidence</t>
        </is>
      </c>
      <c r="K3" s="2" t="inlineStr">
        <is>
          <t>NCM</t>
        </is>
      </c>
      <c r="L3" s="2" t="inlineStr">
        <is>
          <t>Dimensions (L x H x W, in)</t>
        </is>
      </c>
      <c r="M3" s="2" t="inlineStr">
        <is>
          <t>Notes</t>
        </is>
      </c>
    </row>
    <row r="4">
      <c r="A4" t="inlineStr">
        <is>
          <t>41A296352CMP437</t>
        </is>
      </c>
      <c r="B4" t="inlineStr">
        <is>
          <t>Dual Processor Module (DPM)+ LXA (Distributed Power Radio)</t>
        </is>
      </c>
      <c r="C4" t="inlineStr">
        <is>
          <t>Controls (MCA, train control, er etc)</t>
        </is>
      </c>
      <c r="D4" t="inlineStr">
        <is>
          <t>LXA</t>
        </is>
      </c>
      <c r="E4" t="n">
        <v>1</v>
      </c>
      <c r="F4" t="inlineStr">
        <is>
          <t>Imported (USA)</t>
        </is>
      </c>
      <c r="G4" s="3" t="n">
        <v>63100.8192</v>
      </c>
      <c r="H4" s="4" t="n"/>
      <c r="I4" s="5" t="n">
        <v>4.536</v>
      </c>
      <c r="J4" t="inlineStr">
        <is>
          <t>High</t>
        </is>
      </c>
      <c r="K4" t="inlineStr">
        <is>
          <t>90328990</t>
        </is>
      </c>
    </row>
    <row r="5">
      <c r="A5" t="inlineStr">
        <is>
          <t>37495P</t>
        </is>
      </c>
      <c r="B5" t="inlineStr">
        <is>
          <t>KIT ETMS VIRGIN TRAINS FEC EVO44</t>
        </is>
      </c>
      <c r="C5" t="inlineStr">
        <is>
          <t>PTC</t>
        </is>
      </c>
      <c r="D5" t="inlineStr">
        <is>
          <t>PTC KIT MASTER</t>
        </is>
      </c>
      <c r="E5" t="n">
        <v>1</v>
      </c>
      <c r="F5" t="inlineStr">
        <is>
          <t>Imported (USA)</t>
        </is>
      </c>
      <c r="G5" s="3" t="n">
        <v>28529</v>
      </c>
      <c r="H5" s="4" t="n"/>
      <c r="I5" s="5" t="n">
        <v>45.359</v>
      </c>
      <c r="J5" t="inlineStr">
        <is>
          <t>High</t>
        </is>
      </c>
    </row>
    <row r="6">
      <c r="A6" t="inlineStr">
        <is>
          <t>84A222059P5</t>
        </is>
      </c>
      <c r="B6" t="inlineStr">
        <is>
          <t>BATTERIES</t>
        </is>
      </c>
      <c r="C6" t="inlineStr">
        <is>
          <t>Power</t>
        </is>
      </c>
      <c r="D6" t="inlineStr">
        <is>
          <t>POWER</t>
        </is>
      </c>
      <c r="E6" t="n">
        <v>2</v>
      </c>
      <c r="F6" t="inlineStr">
        <is>
          <t>Imported (USA)</t>
        </is>
      </c>
      <c r="G6" s="3" t="n">
        <v>15685.42</v>
      </c>
      <c r="H6" s="4" t="n"/>
      <c r="I6" s="5" t="n">
        <v>1123.095</v>
      </c>
      <c r="J6" t="inlineStr">
        <is>
          <t>High</t>
        </is>
      </c>
    </row>
    <row r="7">
      <c r="A7" t="inlineStr">
        <is>
          <t>41A296352LUG24</t>
        </is>
      </c>
      <c r="B7" t="inlineStr">
        <is>
          <t>CSX Antenna Enclosure Arrangement</t>
        </is>
      </c>
      <c r="C7" t="inlineStr">
        <is>
          <t>Connectivity</t>
        </is>
      </c>
      <c r="D7" t="inlineStr">
        <is>
          <t>ANTENNA KIT Master</t>
        </is>
      </c>
      <c r="E7" t="n">
        <v>1</v>
      </c>
      <c r="F7" t="inlineStr">
        <is>
          <t>Imported (USA)</t>
        </is>
      </c>
      <c r="G7" s="3" t="n">
        <v>30000</v>
      </c>
      <c r="H7" s="4" t="n"/>
      <c r="I7" s="5" t="n">
        <v>136.078</v>
      </c>
      <c r="J7" t="inlineStr">
        <is>
          <t>High</t>
        </is>
      </c>
    </row>
    <row r="8">
      <c r="A8" t="inlineStr">
        <is>
          <t>84A215295P62</t>
        </is>
      </c>
      <c r="B8" t="inlineStr">
        <is>
          <t>Pneumatic Brake Control System (Including lament and control portions) Includes EM EAB Control Functionality</t>
        </is>
      </c>
      <c r="C8" t="inlineStr">
        <is>
          <t>Air</t>
        </is>
      </c>
      <c r="D8" t="inlineStr">
        <is>
          <t>Fastbrake</t>
        </is>
      </c>
      <c r="E8" t="n">
        <v>1</v>
      </c>
      <c r="F8" t="inlineStr">
        <is>
          <t>Imported (USA)</t>
        </is>
      </c>
      <c r="G8" s="3" t="n">
        <v>23409.1</v>
      </c>
      <c r="H8" s="4" t="n"/>
      <c r="I8" s="5" t="n">
        <v>134.263</v>
      </c>
      <c r="J8" t="inlineStr">
        <is>
          <t>High</t>
        </is>
      </c>
    </row>
    <row r="9">
      <c r="A9" t="inlineStr">
        <is>
          <t>41A296352DNP37</t>
        </is>
      </c>
      <c r="B9" t="inlineStr">
        <is>
          <t>RADIO PRAD PTC RADIO</t>
        </is>
      </c>
      <c r="C9" t="inlineStr">
        <is>
          <t>PTC</t>
        </is>
      </c>
      <c r="D9" t="inlineStr">
        <is>
          <t>PTC</t>
        </is>
      </c>
      <c r="E9" t="n">
        <v>1</v>
      </c>
      <c r="F9" t="inlineStr">
        <is>
          <t>Imported (USA)</t>
        </is>
      </c>
      <c r="G9" s="3" t="n">
        <v>20000</v>
      </c>
      <c r="H9" s="4" t="n"/>
      <c r="I9" s="5" t="n">
        <v>9.616</v>
      </c>
      <c r="J9" t="inlineStr">
        <is>
          <t>High</t>
        </is>
      </c>
    </row>
    <row r="10">
      <c r="A10" t="inlineStr">
        <is>
          <t>17FM878A6</t>
        </is>
      </c>
      <c r="B10" t="inlineStr">
        <is>
          <t>NIO 2.0</t>
        </is>
      </c>
      <c r="C10" t="inlineStr">
        <is>
          <t>Controls (MCA, train control, er etc)</t>
        </is>
      </c>
      <c r="D10" t="inlineStr">
        <is>
          <t>MCA</t>
        </is>
      </c>
      <c r="E10" t="n">
        <v>3</v>
      </c>
      <c r="F10" t="inlineStr">
        <is>
          <t>Imported (USA)</t>
        </is>
      </c>
      <c r="G10" s="3" t="n">
        <v>5176.9118</v>
      </c>
      <c r="H10" s="4" t="n"/>
      <c r="I10" s="5" t="n">
        <v>8.618</v>
      </c>
      <c r="J10" t="inlineStr">
        <is>
          <t>High</t>
        </is>
      </c>
    </row>
    <row r="11">
      <c r="A11" t="inlineStr">
        <is>
          <t>L7000083-900</t>
        </is>
      </c>
      <c r="B11" t="inlineStr">
        <is>
          <t>Wireless Communications Management Module, Gen 3 (WCM3)​</t>
        </is>
      </c>
      <c r="C11" t="inlineStr">
        <is>
          <t>Controls (MCA, train control, er etc)</t>
        </is>
      </c>
      <c r="D11" t="inlineStr">
        <is>
          <t>TRAIN CONTROL</t>
        </is>
      </c>
      <c r="E11" t="n">
        <v>2</v>
      </c>
      <c r="F11" t="inlineStr">
        <is>
          <t>Imported (USA)</t>
        </is>
      </c>
      <c r="G11" s="3" t="n">
        <v>5000</v>
      </c>
      <c r="H11" s="4" t="n"/>
      <c r="I11" s="5" t="n">
        <v>2.268</v>
      </c>
      <c r="J11" t="inlineStr">
        <is>
          <t>High</t>
        </is>
      </c>
    </row>
    <row r="12">
      <c r="A12" t="inlineStr">
        <is>
          <t>84A237085AEP121</t>
        </is>
      </c>
      <c r="B12" t="inlineStr">
        <is>
          <t>8 Slot ACC Chassis for MCA w/ i7 HPEAP and SMM2 Cards</t>
        </is>
      </c>
      <c r="C12" t="inlineStr">
        <is>
          <t>Controls (MCA, train control, er etc)</t>
        </is>
      </c>
      <c r="D12" t="inlineStr">
        <is>
          <t>TRAIN CONTROL</t>
        </is>
      </c>
      <c r="E12" t="n">
        <v>1</v>
      </c>
      <c r="F12" t="inlineStr">
        <is>
          <t>Imported (USA)</t>
        </is>
      </c>
      <c r="G12" s="3" t="n">
        <v>8000</v>
      </c>
      <c r="H12" s="4" t="n"/>
      <c r="I12" s="5" t="n">
        <v>9.071999999999999</v>
      </c>
      <c r="J12" t="inlineStr">
        <is>
          <t>High</t>
        </is>
      </c>
    </row>
    <row r="13">
      <c r="A13" t="inlineStr">
        <is>
          <t>17FL472A2</t>
        </is>
      </c>
      <c r="B13" t="inlineStr">
        <is>
          <t>TMC PANEL</t>
        </is>
      </c>
      <c r="C13" t="inlineStr">
        <is>
          <t>SKID Assembly</t>
        </is>
      </c>
      <c r="D13" t="inlineStr">
        <is>
          <t>SKID (Skid)</t>
        </is>
      </c>
      <c r="E13" t="n">
        <v>1</v>
      </c>
      <c r="F13" t="inlineStr">
        <is>
          <t>PAC (Brazil, nationalized)</t>
        </is>
      </c>
      <c r="G13" s="3" t="n"/>
      <c r="H13" s="4" t="n">
        <v>58447.15211818</v>
      </c>
      <c r="I13" s="5" t="n">
        <v>20.412</v>
      </c>
      <c r="J13" t="inlineStr">
        <is>
          <t>High</t>
        </is>
      </c>
      <c r="K13" t="inlineStr">
        <is>
          <t>85371090</t>
        </is>
      </c>
    </row>
    <row r="14">
      <c r="A14" t="inlineStr">
        <is>
          <t>17KC108E28</t>
        </is>
      </c>
      <c r="B14" t="inlineStr">
        <is>
          <t>MASTER CONTROLLER</t>
        </is>
      </c>
      <c r="C14" t="inlineStr">
        <is>
          <t>Controls (MCA, train control, er etc)</t>
        </is>
      </c>
      <c r="D14" t="inlineStr">
        <is>
          <t>TRAIN CONTROL</t>
        </is>
      </c>
      <c r="E14" t="n">
        <v>1</v>
      </c>
      <c r="F14" t="inlineStr">
        <is>
          <t>GET (made in-house)</t>
        </is>
      </c>
      <c r="G14" s="3" t="n">
        <v>5877.102</v>
      </c>
      <c r="H14" s="4" t="n"/>
      <c r="I14" s="5" t="n">
        <v>25.855</v>
      </c>
      <c r="J14" t="inlineStr">
        <is>
          <t>High</t>
        </is>
      </c>
    </row>
    <row r="15">
      <c r="A15" t="inlineStr">
        <is>
          <t>84A215295P73</t>
        </is>
      </c>
      <c r="B15" t="inlineStr">
        <is>
          <t>Air Brake Handle Assembly (AAR Console)</t>
        </is>
      </c>
      <c r="C15" t="inlineStr">
        <is>
          <t>Air</t>
        </is>
      </c>
      <c r="D15" t="inlineStr">
        <is>
          <t>Fastbrake</t>
        </is>
      </c>
      <c r="E15" t="n">
        <v>1</v>
      </c>
      <c r="F15" t="inlineStr">
        <is>
          <t>Imported (USA)</t>
        </is>
      </c>
      <c r="G15" s="3" t="n">
        <v>5702.83</v>
      </c>
      <c r="H15" s="4" t="n"/>
      <c r="I15" s="5" t="n">
        <v>7.938</v>
      </c>
      <c r="J15" t="inlineStr">
        <is>
          <t>High</t>
        </is>
      </c>
    </row>
    <row r="16">
      <c r="A16" t="inlineStr">
        <is>
          <t>17FM868B2</t>
        </is>
      </c>
      <c r="B16" t="inlineStr">
        <is>
          <t>SNIO</t>
        </is>
      </c>
      <c r="C16" t="inlineStr">
        <is>
          <t>Controls (MCA, train control, er etc)</t>
        </is>
      </c>
      <c r="D16" t="inlineStr">
        <is>
          <t>MCA</t>
        </is>
      </c>
      <c r="E16" t="n">
        <v>1</v>
      </c>
      <c r="F16" t="inlineStr">
        <is>
          <t>Imported (USA)</t>
        </is>
      </c>
      <c r="G16" s="3" t="n">
        <v>4150.9559</v>
      </c>
      <c r="H16" s="4" t="n"/>
      <c r="I16" s="5" t="n">
        <v>4.99</v>
      </c>
      <c r="J16" t="inlineStr">
        <is>
          <t>High</t>
        </is>
      </c>
    </row>
    <row r="17">
      <c r="A17" t="inlineStr">
        <is>
          <t>41A296352DNP55</t>
        </is>
      </c>
      <c r="B17" t="inlineStr">
        <is>
          <t>VOICE RADIO RITRON</t>
        </is>
      </c>
      <c r="C17" t="inlineStr">
        <is>
          <t>Connectivity</t>
        </is>
      </c>
      <c r="D17" t="inlineStr">
        <is>
          <t>VOICE RADIO</t>
        </is>
      </c>
      <c r="E17" t="n">
        <v>1</v>
      </c>
      <c r="F17" t="inlineStr">
        <is>
          <t>Imported (USA)</t>
        </is>
      </c>
      <c r="G17" s="3" t="n">
        <v>3933</v>
      </c>
      <c r="H17" s="4" t="n"/>
      <c r="I17" s="5" t="n">
        <v>7.575</v>
      </c>
      <c r="J17" t="inlineStr">
        <is>
          <t>High</t>
        </is>
      </c>
    </row>
    <row r="18">
      <c r="A18" t="inlineStr">
        <is>
          <t>32613P</t>
        </is>
      </c>
      <c r="B18" t="inlineStr">
        <is>
          <t>KIT ETMS AXLE INTERFACE FOR WPart Number 29266P</t>
        </is>
      </c>
      <c r="C18" t="inlineStr">
        <is>
          <t>PTC</t>
        </is>
      </c>
      <c r="D18" t="inlineStr">
        <is>
          <t>PTC</t>
        </is>
      </c>
      <c r="E18" t="n">
        <v>1</v>
      </c>
      <c r="F18" t="inlineStr">
        <is>
          <t>Imported (USA)</t>
        </is>
      </c>
      <c r="G18" s="3" t="n">
        <v>2981.71</v>
      </c>
      <c r="H18" s="4" t="n"/>
      <c r="I18" s="5" t="n">
        <v>4.536</v>
      </c>
      <c r="J18" t="inlineStr">
        <is>
          <t>High</t>
        </is>
      </c>
    </row>
    <row r="19">
      <c r="A19" t="inlineStr">
        <is>
          <t>17FH40X1</t>
        </is>
      </c>
      <c r="B19" t="inlineStr">
        <is>
          <t>LPS 17FH40 (COMMON LOGIC POWER SUPPLY) (5v, 15v, 19v, 24v)</t>
        </is>
      </c>
      <c r="C19" t="inlineStr">
        <is>
          <t>POWER</t>
        </is>
      </c>
      <c r="D19" t="inlineStr">
        <is>
          <t>POWER SUPPLY</t>
        </is>
      </c>
      <c r="E19" t="n">
        <v>1</v>
      </c>
      <c r="F19" t="inlineStr">
        <is>
          <t>PAC (Brazil, nationalized)</t>
        </is>
      </c>
      <c r="G19" s="3" t="n"/>
      <c r="H19" s="4" t="n">
        <v>15041.53990717839</v>
      </c>
      <c r="I19" s="5" t="n">
        <v>18.144</v>
      </c>
      <c r="J19" t="inlineStr">
        <is>
          <t>High</t>
        </is>
      </c>
      <c r="K19" t="inlineStr">
        <is>
          <t>85044029</t>
        </is>
      </c>
      <c r="L19" t="inlineStr">
        <is>
          <t>24x10x20</t>
        </is>
      </c>
    </row>
    <row r="20">
      <c r="A20" t="inlineStr">
        <is>
          <t>41D758679BJG16 	84D704379AFG1</t>
        </is>
      </c>
      <c r="B20" t="inlineStr">
        <is>
          <t>EC Part NumberL ASM</t>
        </is>
      </c>
      <c r="C20" t="inlineStr">
        <is>
          <t>Power</t>
        </is>
      </c>
      <c r="D20" t="inlineStr">
        <is>
          <t>Circuit Breaker</t>
        </is>
      </c>
      <c r="E20" t="n">
        <v>1</v>
      </c>
      <c r="F20" t="inlineStr">
        <is>
          <t>GET (made in-house)</t>
        </is>
      </c>
      <c r="G20" s="3" t="n">
        <v>1572.36</v>
      </c>
      <c r="H20" s="4" t="n"/>
      <c r="I20" s="5" t="n">
        <v>4.99</v>
      </c>
      <c r="J20" t="inlineStr">
        <is>
          <t>High</t>
        </is>
      </c>
      <c r="K20" t="inlineStr">
        <is>
          <t>86079100</t>
        </is>
      </c>
      <c r="L20" t="inlineStr">
        <is>
          <t>20x3.5x25.5</t>
        </is>
      </c>
    </row>
    <row r="21">
      <c r="A21" t="inlineStr">
        <is>
          <t>41B546155P2</t>
        </is>
      </c>
      <c r="B21" t="inlineStr">
        <is>
          <t>Horn</t>
        </is>
      </c>
      <c r="C21" t="inlineStr">
        <is>
          <t>Controls (MCA, train control, er etc)</t>
        </is>
      </c>
      <c r="D21" t="inlineStr">
        <is>
          <t>TRAIN CONTROL</t>
        </is>
      </c>
      <c r="E21" t="n">
        <v>1</v>
      </c>
      <c r="F21" t="inlineStr">
        <is>
          <t>Imported (USA)</t>
        </is>
      </c>
      <c r="G21" s="3" t="n">
        <v>1891.99</v>
      </c>
      <c r="H21" s="4" t="n"/>
      <c r="I21" s="5" t="n">
        <v>4.536</v>
      </c>
      <c r="J21" t="inlineStr">
        <is>
          <t>High</t>
        </is>
      </c>
    </row>
    <row r="22">
      <c r="B22" t="inlineStr">
        <is>
          <t>Ditchlight Control Box (SMART BOX-V3-DLC )</t>
        </is>
      </c>
      <c r="C22" t="inlineStr">
        <is>
          <t>Controls (MCA, train control, er etc)</t>
        </is>
      </c>
      <c r="D22" t="inlineStr">
        <is>
          <t>TRAIN CONTROL</t>
        </is>
      </c>
      <c r="E22" t="n">
        <v>2</v>
      </c>
      <c r="F22" t="inlineStr">
        <is>
          <t>Imported (USA)</t>
        </is>
      </c>
      <c r="G22" s="3" t="n">
        <v>800</v>
      </c>
      <c r="H22" s="4" t="n"/>
      <c r="I22" s="5" t="n">
        <v>2.268</v>
      </c>
      <c r="J22" t="inlineStr">
        <is>
          <t>High</t>
        </is>
      </c>
    </row>
    <row r="23">
      <c r="B23" t="inlineStr">
        <is>
          <t>LED Ditch Light</t>
        </is>
      </c>
      <c r="C23" t="inlineStr">
        <is>
          <t>Controls (MCA, train control, er etc)</t>
        </is>
      </c>
      <c r="D23" t="inlineStr">
        <is>
          <t>TRAIN CONTROL</t>
        </is>
      </c>
      <c r="E23" t="n">
        <v>4</v>
      </c>
      <c r="F23" t="inlineStr">
        <is>
          <t>Imported (USA)</t>
        </is>
      </c>
      <c r="G23" s="3" t="n">
        <v>375</v>
      </c>
      <c r="H23" s="4" t="n"/>
      <c r="I23" s="5" t="n">
        <v>0.907</v>
      </c>
      <c r="J23" t="inlineStr">
        <is>
          <t>High</t>
        </is>
      </c>
    </row>
    <row r="24">
      <c r="A24" t="inlineStr">
        <is>
          <t>17FM839B1</t>
        </is>
      </c>
      <c r="B24" t="inlineStr">
        <is>
          <t>PANEL ASM CFD - Thin Client Display</t>
        </is>
      </c>
      <c r="C24" t="inlineStr">
        <is>
          <t>Controls (MCA, train control, er etc)</t>
        </is>
      </c>
      <c r="D24" t="inlineStr">
        <is>
          <t>MCA</t>
        </is>
      </c>
      <c r="E24" t="n">
        <v>1</v>
      </c>
      <c r="F24" t="inlineStr">
        <is>
          <t>PAC (Brazil, nationalized)</t>
        </is>
      </c>
      <c r="G24" s="3" t="n"/>
      <c r="H24" s="4" t="n">
        <v>11603.7169581856</v>
      </c>
      <c r="I24" s="5" t="n">
        <v>9.298999999999999</v>
      </c>
      <c r="J24" t="inlineStr">
        <is>
          <t>High</t>
        </is>
      </c>
      <c r="K24" t="inlineStr">
        <is>
          <t>85312000</t>
        </is>
      </c>
      <c r="L24" t="inlineStr">
        <is>
          <t>18.5x8.5x15</t>
        </is>
      </c>
    </row>
    <row r="25">
      <c r="A25" t="inlineStr">
        <is>
          <t>17FM839A3</t>
        </is>
      </c>
      <c r="B25" t="inlineStr">
        <is>
          <t>TCD (Thin Client Display)</t>
        </is>
      </c>
      <c r="C25" t="inlineStr">
        <is>
          <t>SKID Assembly</t>
        </is>
      </c>
      <c r="D25" t="inlineStr">
        <is>
          <t>SKID (Skid)</t>
        </is>
      </c>
      <c r="E25" t="n">
        <v>1</v>
      </c>
      <c r="F25" t="inlineStr">
        <is>
          <t>PAC (Brazil, nationalized)</t>
        </is>
      </c>
      <c r="G25" s="3" t="n"/>
      <c r="H25" s="4" t="n">
        <v>11603.7169581856</v>
      </c>
      <c r="I25" s="5" t="n">
        <v>9.298999999999999</v>
      </c>
      <c r="J25" t="inlineStr">
        <is>
          <t>High</t>
        </is>
      </c>
      <c r="K25" t="inlineStr">
        <is>
          <t>85312000</t>
        </is>
      </c>
      <c r="L25" t="inlineStr">
        <is>
          <t>18.5x8.5x15</t>
        </is>
      </c>
    </row>
    <row r="26">
      <c r="A26" t="inlineStr">
        <is>
          <t>84A201003DAP1</t>
        </is>
      </c>
      <c r="B26" t="inlineStr">
        <is>
          <t>ELECTRIC Bell</t>
        </is>
      </c>
      <c r="C26" t="inlineStr">
        <is>
          <t>Controls (MCA, train control, er etc)</t>
        </is>
      </c>
      <c r="D26" t="inlineStr">
        <is>
          <t>TRAIN CONTROL</t>
        </is>
      </c>
      <c r="E26" t="n">
        <v>1</v>
      </c>
      <c r="F26" t="inlineStr">
        <is>
          <t>PAC (Brazil, nationalized)</t>
        </is>
      </c>
      <c r="G26" s="3" t="n"/>
      <c r="H26" s="4" t="n">
        <v>9491.457082650917</v>
      </c>
      <c r="I26" s="5" t="n">
        <v>8.119</v>
      </c>
      <c r="J26" t="inlineStr">
        <is>
          <t>High</t>
        </is>
      </c>
      <c r="K26" t="inlineStr">
        <is>
          <t>85318000</t>
        </is>
      </c>
      <c r="L26" t="inlineStr">
        <is>
          <t>14.25x14.25x10</t>
        </is>
      </c>
    </row>
    <row r="27">
      <c r="A27" t="inlineStr">
        <is>
          <t>17FB193E2F</t>
        </is>
      </c>
      <c r="B27" t="inlineStr">
        <is>
          <t>GET Card</t>
        </is>
      </c>
      <c r="C27" t="inlineStr">
        <is>
          <t>GET</t>
        </is>
      </c>
      <c r="D27" t="inlineStr">
        <is>
          <t>GET Card</t>
        </is>
      </c>
      <c r="E27" t="n">
        <v>1</v>
      </c>
      <c r="F27" t="inlineStr">
        <is>
          <t>PAC (Brazil, nationalized)</t>
        </is>
      </c>
      <c r="G27" s="3" t="n"/>
      <c r="H27" s="4" t="n">
        <v>9251.123897523161</v>
      </c>
      <c r="I27" s="5" t="n">
        <v>1.114</v>
      </c>
      <c r="J27" t="inlineStr">
        <is>
          <t>High</t>
        </is>
      </c>
      <c r="K27" t="inlineStr">
        <is>
          <t>85049040</t>
        </is>
      </c>
      <c r="L27" t="inlineStr">
        <is>
          <t>17.2x1.95x11.2</t>
        </is>
      </c>
    </row>
    <row r="28">
      <c r="A28" t="inlineStr">
        <is>
          <t>84A215295P3</t>
        </is>
      </c>
      <c r="B28" t="inlineStr">
        <is>
          <t>POU-to-Handle cable 18' length</t>
        </is>
      </c>
      <c r="C28" t="inlineStr">
        <is>
          <t>Air</t>
        </is>
      </c>
      <c r="D28" t="inlineStr">
        <is>
          <t>Fastbrake</t>
        </is>
      </c>
      <c r="E28" t="n">
        <v>1</v>
      </c>
      <c r="F28" t="inlineStr">
        <is>
          <t>Imported (USA)</t>
        </is>
      </c>
      <c r="G28" s="3" t="n">
        <v>1036.89</v>
      </c>
      <c r="H28" s="4" t="n"/>
      <c r="I28" s="5" t="n">
        <v>1.247</v>
      </c>
      <c r="J28" t="inlineStr">
        <is>
          <t>Medium</t>
        </is>
      </c>
    </row>
    <row r="29">
      <c r="A29" t="inlineStr">
        <is>
          <t>41B566322ACG1</t>
        </is>
      </c>
      <c r="B29" t="inlineStr">
        <is>
          <t>TRAINLINE RESISTOR PANEL</t>
        </is>
      </c>
      <c r="C29" t="inlineStr">
        <is>
          <t>SKID Assembly</t>
        </is>
      </c>
      <c r="D29" t="inlineStr">
        <is>
          <t>Controls (MCA, train control, er etc)</t>
        </is>
      </c>
      <c r="E29" t="n">
        <v>1</v>
      </c>
      <c r="F29" t="inlineStr">
        <is>
          <t>GET (made in-house)</t>
        </is>
      </c>
      <c r="G29" s="3" t="n"/>
      <c r="H29" s="4" t="n"/>
      <c r="I29" s="5" t="n">
        <v>2.859</v>
      </c>
      <c r="J29" t="inlineStr">
        <is>
          <t>High</t>
        </is>
      </c>
      <c r="K29" t="inlineStr">
        <is>
          <t>85333990</t>
        </is>
      </c>
      <c r="L29" t="inlineStr">
        <is>
          <t>14x6x8.5</t>
        </is>
      </c>
    </row>
    <row r="30">
      <c r="A30" t="inlineStr">
        <is>
          <t>41A296304DDP4</t>
        </is>
      </c>
      <c r="B30" t="inlineStr">
        <is>
          <t>G-RECTIFIER POWER BLOCK</t>
        </is>
      </c>
      <c r="C30" t="inlineStr">
        <is>
          <t>SKID Assembly</t>
        </is>
      </c>
      <c r="D30" t="inlineStr">
        <is>
          <t>Controls (MCA, train control, er etc)</t>
        </is>
      </c>
      <c r="E30" t="n">
        <v>20</v>
      </c>
      <c r="F30" t="inlineStr">
        <is>
          <t>PAC (Brazil, nationalized)</t>
        </is>
      </c>
      <c r="G30" s="3" t="n"/>
      <c r="H30" s="4" t="n">
        <v>326.2230055294123</v>
      </c>
      <c r="I30" s="5" t="n">
        <v>0.054</v>
      </c>
      <c r="J30" t="inlineStr">
        <is>
          <t>Low</t>
        </is>
      </c>
      <c r="K30" t="inlineStr">
        <is>
          <t>85411099</t>
        </is>
      </c>
      <c r="L30" t="inlineStr">
        <is>
          <t>10.85x1.1x8.5</t>
        </is>
      </c>
      <c r="M30" t="inlineStr">
        <is>
          <t>Weight looks wrong, verify</t>
        </is>
      </c>
    </row>
    <row r="31">
      <c r="A31" t="inlineStr">
        <is>
          <t>RCCR-RMTCBL-RA-CUSTOM</t>
        </is>
      </c>
      <c r="B31" t="inlineStr">
        <is>
          <t>VOICE RADIO RITRON CABLE,REMOTE,RR-225/XXX, RCCR,RIGHT
ANGLE,19-PIN,FLAME RETARDANT</t>
        </is>
      </c>
      <c r="C31" t="inlineStr">
        <is>
          <t>Connectivity</t>
        </is>
      </c>
      <c r="D31" t="inlineStr">
        <is>
          <t>VOICE RADIO</t>
        </is>
      </c>
      <c r="E31" t="n">
        <v>1</v>
      </c>
      <c r="F31" t="inlineStr">
        <is>
          <t>Imported (USA)</t>
        </is>
      </c>
      <c r="G31" s="3" t="n">
        <v>761</v>
      </c>
      <c r="H31" s="4" t="n"/>
    </row>
    <row r="32">
      <c r="A32" t="inlineStr">
        <is>
          <t>41C663693G1</t>
        </is>
      </c>
      <c r="B32" t="inlineStr">
        <is>
          <t>PANEL CPF</t>
        </is>
      </c>
      <c r="C32" t="inlineStr">
        <is>
          <t>Power</t>
        </is>
      </c>
      <c r="D32" t="inlineStr">
        <is>
          <t>POWER</t>
        </is>
      </c>
      <c r="E32" t="n">
        <v>1</v>
      </c>
      <c r="F32" t="inlineStr">
        <is>
          <t>GET (made in-house)</t>
        </is>
      </c>
      <c r="G32" s="3" t="n"/>
      <c r="H32" s="4" t="n"/>
      <c r="I32" s="5" t="n">
        <v>5.761</v>
      </c>
      <c r="J32" t="inlineStr">
        <is>
          <t>High</t>
        </is>
      </c>
      <c r="K32" t="inlineStr">
        <is>
          <t>85371090</t>
        </is>
      </c>
      <c r="L32" t="inlineStr">
        <is>
          <t>20.5x10.5x11.5</t>
        </is>
      </c>
    </row>
    <row r="33">
      <c r="A33" t="inlineStr">
        <is>
          <t>41A296352PTP306/41A296352PTP122</t>
        </is>
      </c>
      <c r="B33" t="inlineStr">
        <is>
          <t>Assembled Air Manifold (Contains 3 pressure sensors mounted in appropriate locations on Air Manifold.)</t>
        </is>
      </c>
      <c r="C33" t="inlineStr">
        <is>
          <t>PTC</t>
        </is>
      </c>
      <c r="D33" t="inlineStr">
        <is>
          <t>PTC</t>
        </is>
      </c>
      <c r="E33" t="n">
        <v>1</v>
      </c>
      <c r="F33" t="inlineStr">
        <is>
          <t>Imported (USA)</t>
        </is>
      </c>
      <c r="G33" s="3" t="n">
        <v>595.7889</v>
      </c>
      <c r="H33" s="4" t="n"/>
      <c r="I33" s="5" t="n">
        <v>5.897</v>
      </c>
      <c r="J33" t="inlineStr">
        <is>
          <t>Medium</t>
        </is>
      </c>
      <c r="K33" t="inlineStr">
        <is>
          <t>85381000</t>
        </is>
      </c>
    </row>
    <row r="34">
      <c r="A34" t="inlineStr">
        <is>
          <t>84A232147P1</t>
        </is>
      </c>
      <c r="B34" t="inlineStr">
        <is>
          <t>KNOB HLD DWN with washer and screw</t>
        </is>
      </c>
      <c r="C34" t="inlineStr">
        <is>
          <t>Controls (MCA, train control, er etc)</t>
        </is>
      </c>
      <c r="D34" t="inlineStr">
        <is>
          <t>TRAIN CONTROL</t>
        </is>
      </c>
      <c r="E34" t="n">
        <v>30</v>
      </c>
      <c r="F34" t="inlineStr">
        <is>
          <t>PAC (Brazil, nationalized)</t>
        </is>
      </c>
      <c r="G34" s="3" t="n"/>
      <c r="H34" s="4" t="n">
        <v>127.4757723945537</v>
      </c>
      <c r="I34" s="5" t="n">
        <v>0.045</v>
      </c>
      <c r="J34" t="inlineStr">
        <is>
          <t>High</t>
        </is>
      </c>
      <c r="K34" t="inlineStr">
        <is>
          <t>83024900</t>
        </is>
      </c>
      <c r="L34" t="inlineStr">
        <is>
          <t>3.5x0.75x0.75</t>
        </is>
      </c>
    </row>
    <row r="35">
      <c r="A35" t="inlineStr">
        <is>
          <t>32447P</t>
        </is>
      </c>
      <c r="B35" t="inlineStr">
        <is>
          <t>ASY CABLE WHEEL TACH AC EVO/SD70 ACE</t>
        </is>
      </c>
      <c r="C35" t="inlineStr">
        <is>
          <t>PTC</t>
        </is>
      </c>
      <c r="D35" t="inlineStr">
        <is>
          <t>PTC</t>
        </is>
      </c>
      <c r="E35" t="n">
        <v>1</v>
      </c>
      <c r="F35" t="inlineStr">
        <is>
          <t>Imported (USA)</t>
        </is>
      </c>
      <c r="G35" s="3" t="n">
        <v>411.22</v>
      </c>
      <c r="H35" s="4" t="n"/>
    </row>
    <row r="36">
      <c r="A36" t="inlineStr">
        <is>
          <t>41A296352PTP10/319/34</t>
        </is>
      </c>
      <c r="B36" t="inlineStr">
        <is>
          <t>VALVE Part NumberEUMATIC NC/CO (Penalty Magnet Valve) Graham-White 812-142</t>
        </is>
      </c>
      <c r="C36" t="inlineStr">
        <is>
          <t>PTC</t>
        </is>
      </c>
      <c r="D36" t="inlineStr">
        <is>
          <t>PTC</t>
        </is>
      </c>
      <c r="E36" t="n">
        <v>1</v>
      </c>
      <c r="F36" t="inlineStr">
        <is>
          <t>Imported (USA)</t>
        </is>
      </c>
      <c r="G36" s="3" t="n">
        <v>404.6239</v>
      </c>
      <c r="H36" s="4" t="n"/>
    </row>
    <row r="37">
      <c r="A37" t="inlineStr">
        <is>
          <t>84A201176P1</t>
        </is>
      </c>
      <c r="B37" t="inlineStr">
        <is>
          <t>Pathfinder Control Unit Connector (MU Plug)</t>
        </is>
      </c>
      <c r="C37" t="inlineStr">
        <is>
          <t>Controls (MCA, train control, er etc)</t>
        </is>
      </c>
      <c r="D37" t="inlineStr">
        <is>
          <t>TRAIN CONTROL</t>
        </is>
      </c>
      <c r="E37" t="n">
        <v>2</v>
      </c>
      <c r="F37" t="inlineStr">
        <is>
          <t>PAC (Brazil, nationalized)</t>
        </is>
      </c>
      <c r="G37" s="3" t="n"/>
      <c r="H37" s="4" t="n">
        <v>1480.863670329737</v>
      </c>
      <c r="I37" s="5" t="n">
        <v>2.404</v>
      </c>
      <c r="J37" t="inlineStr">
        <is>
          <t>High</t>
        </is>
      </c>
      <c r="K37" t="inlineStr">
        <is>
          <t>85366990</t>
        </is>
      </c>
      <c r="L37" t="inlineStr">
        <is>
          <t>7x4x7</t>
        </is>
      </c>
    </row>
    <row r="38">
      <c r="A38" t="inlineStr">
        <is>
          <t>84A201150ACP2</t>
        </is>
      </c>
      <c r="B38" t="inlineStr">
        <is>
          <t>CROSSING BELL PUSH BUTTON
SWITCH</t>
        </is>
      </c>
      <c r="C38" t="inlineStr">
        <is>
          <t>Controls (MCA, train control, er etc)</t>
        </is>
      </c>
      <c r="D38" t="inlineStr">
        <is>
          <t>TRAIN CONTROL</t>
        </is>
      </c>
      <c r="E38" t="n">
        <v>1</v>
      </c>
      <c r="F38" t="inlineStr">
        <is>
          <t>PAC (Brazil, nationalized)</t>
        </is>
      </c>
      <c r="G38" s="3" t="n"/>
      <c r="H38" s="4" t="n">
        <v>2843.376868605715</v>
      </c>
      <c r="I38" s="5" t="n">
        <v>0.411</v>
      </c>
      <c r="J38" t="inlineStr">
        <is>
          <t>High</t>
        </is>
      </c>
      <c r="K38" t="inlineStr">
        <is>
          <t>85365090</t>
        </is>
      </c>
      <c r="L38" t="inlineStr">
        <is>
          <t>11.8x6.4x8.05</t>
        </is>
      </c>
    </row>
    <row r="39">
      <c r="A39" t="inlineStr">
        <is>
          <t>17FH37A6</t>
        </is>
      </c>
      <c r="B39" t="inlineStr">
        <is>
          <t>RPS Power Panel - Radio Power Supply - 15V</t>
        </is>
      </c>
      <c r="C39" t="inlineStr">
        <is>
          <t>Controls (MCA, train control, er etc)</t>
        </is>
      </c>
      <c r="D39" t="inlineStr">
        <is>
          <t>MCA</t>
        </is>
      </c>
      <c r="E39" t="n">
        <v>1</v>
      </c>
      <c r="F39" t="inlineStr">
        <is>
          <t>PAC (Brazil, nationalized)</t>
        </is>
      </c>
      <c r="G39" s="3" t="n"/>
      <c r="H39" s="4" t="n">
        <v>2534.886672428763</v>
      </c>
      <c r="I39" s="5" t="n">
        <v>4.247</v>
      </c>
      <c r="J39" t="inlineStr">
        <is>
          <t>High</t>
        </is>
      </c>
      <c r="K39" t="inlineStr">
        <is>
          <t>85044030</t>
        </is>
      </c>
      <c r="L39" t="inlineStr">
        <is>
          <t>12.8x3.8x9.5</t>
        </is>
      </c>
    </row>
    <row r="40">
      <c r="A40" t="inlineStr">
        <is>
          <t>41A240644P2</t>
        </is>
      </c>
      <c r="B40" t="inlineStr">
        <is>
          <t>HORN MAGNET VALVE</t>
        </is>
      </c>
      <c r="C40" t="inlineStr">
        <is>
          <t>Controls (MCA, train control, er etc)</t>
        </is>
      </c>
      <c r="D40" t="inlineStr">
        <is>
          <t>TRAIN CONTROL</t>
        </is>
      </c>
      <c r="E40" t="n">
        <v>1</v>
      </c>
      <c r="F40" t="inlineStr">
        <is>
          <t>PAC (Brazil, nationalized)</t>
        </is>
      </c>
      <c r="G40" s="3" t="n"/>
      <c r="H40" s="4" t="n">
        <v>2382.374748689938</v>
      </c>
      <c r="I40" s="5" t="n">
        <v>3.629</v>
      </c>
      <c r="J40" t="inlineStr">
        <is>
          <t>High</t>
        </is>
      </c>
      <c r="K40" t="inlineStr">
        <is>
          <t>84812090</t>
        </is>
      </c>
      <c r="L40" t="inlineStr">
        <is>
          <t>8.4x3.35x7.5</t>
        </is>
      </c>
    </row>
    <row r="41">
      <c r="A41" t="inlineStr">
        <is>
          <t>41A296352CMP387</t>
        </is>
      </c>
      <c r="B41" t="inlineStr">
        <is>
          <t>ETHERNET CABLE</t>
        </is>
      </c>
      <c r="C41" t="inlineStr">
        <is>
          <t>Controls (MCA, train control, er etc)</t>
        </is>
      </c>
      <c r="D41" t="inlineStr">
        <is>
          <t>MCA</t>
        </is>
      </c>
      <c r="E41" t="n">
        <v>1</v>
      </c>
      <c r="F41" t="inlineStr">
        <is>
          <t>PAC (Brazil, nationalized)</t>
        </is>
      </c>
      <c r="G41" s="3" t="n"/>
      <c r="H41" s="4" t="n">
        <v>2132.24431804</v>
      </c>
      <c r="I41" s="5" t="n">
        <v>0.227</v>
      </c>
      <c r="J41" t="inlineStr">
        <is>
          <t>High</t>
        </is>
      </c>
      <c r="K41" t="inlineStr">
        <is>
          <t>85444200</t>
        </is>
      </c>
      <c r="L41" t="inlineStr">
        <is>
          <t>0x0x0</t>
        </is>
      </c>
    </row>
    <row r="42">
      <c r="A42" t="inlineStr">
        <is>
          <t>41B511393P2</t>
        </is>
      </c>
      <c r="B42" t="inlineStr">
        <is>
          <t>Battery Knife Switch</t>
        </is>
      </c>
      <c r="C42" t="inlineStr">
        <is>
          <t>Power</t>
        </is>
      </c>
      <c r="D42" t="inlineStr">
        <is>
          <t>POWER</t>
        </is>
      </c>
      <c r="E42" t="n">
        <v>1</v>
      </c>
      <c r="F42" t="inlineStr">
        <is>
          <t>PAC (Brazil, nationalized)</t>
        </is>
      </c>
      <c r="G42" s="3" t="n"/>
      <c r="H42" s="4" t="n">
        <v>1794.802418041144</v>
      </c>
      <c r="I42" s="5" t="n">
        <v>4.445</v>
      </c>
      <c r="J42" t="inlineStr">
        <is>
          <t>High</t>
        </is>
      </c>
      <c r="K42" t="inlineStr">
        <is>
          <t>85365090</t>
        </is>
      </c>
      <c r="L42" t="inlineStr">
        <is>
          <t>13.5x5.25x7</t>
        </is>
      </c>
    </row>
    <row r="43">
      <c r="A43" t="inlineStr">
        <is>
          <t>84A231123CSP30</t>
        </is>
      </c>
      <c r="B43" t="inlineStr">
        <is>
          <t>Axle Tac - WRE Part Number: 29266P</t>
        </is>
      </c>
      <c r="C43" t="inlineStr">
        <is>
          <t>PTC</t>
        </is>
      </c>
      <c r="D43" t="inlineStr">
        <is>
          <t>PTC</t>
        </is>
      </c>
      <c r="E43" t="n">
        <v>1</v>
      </c>
      <c r="F43" t="inlineStr">
        <is>
          <t>Imported (USA)</t>
        </is>
      </c>
      <c r="G43" s="3" t="n">
        <v>205</v>
      </c>
      <c r="H43" s="4" t="n"/>
    </row>
    <row r="44">
      <c r="A44" t="inlineStr">
        <is>
          <t>84A207079ABP1</t>
        </is>
      </c>
      <c r="B44" t="inlineStr">
        <is>
          <t>41A313392DCP18 alternative 300" /</t>
        </is>
      </c>
      <c r="C44" t="inlineStr">
        <is>
          <t>Controls (MCA, train control, er etc)</t>
        </is>
      </c>
      <c r="D44" t="inlineStr">
        <is>
          <t>Wiring</t>
        </is>
      </c>
      <c r="E44" t="n">
        <v>25</v>
      </c>
      <c r="F44" t="inlineStr">
        <is>
          <t>Imported (USA)</t>
        </is>
      </c>
      <c r="G44" s="3" t="n">
        <v>8.118</v>
      </c>
      <c r="H44" s="4" t="n"/>
      <c r="I44" s="5" t="n">
        <v>0.227</v>
      </c>
      <c r="J44" t="inlineStr">
        <is>
          <t>High</t>
        </is>
      </c>
      <c r="K44" t="inlineStr">
        <is>
          <t>85446000</t>
        </is>
      </c>
      <c r="L44" t="inlineStr">
        <is>
          <t>24x20x24</t>
        </is>
      </c>
    </row>
    <row r="45">
      <c r="A45" t="inlineStr">
        <is>
          <t>84A201850P4</t>
        </is>
      </c>
      <c r="B45" t="inlineStr">
        <is>
          <t>ENGINE CONTROL SWITCH</t>
        </is>
      </c>
      <c r="C45" t="inlineStr">
        <is>
          <t>Controls (MCA, train control, er etc)</t>
        </is>
      </c>
      <c r="D45" t="inlineStr">
        <is>
          <t>TRAIN CONTROL</t>
        </is>
      </c>
      <c r="E45" t="n">
        <v>1</v>
      </c>
      <c r="F45" t="inlineStr">
        <is>
          <t>Imported (USA)</t>
        </is>
      </c>
      <c r="G45" s="3" t="n">
        <v>171.544</v>
      </c>
      <c r="H45" s="4" t="n"/>
    </row>
    <row r="46">
      <c r="A46" t="inlineStr">
        <is>
          <t>RCCR-PWRCBL</t>
        </is>
      </c>
      <c r="B46" t="inlineStr">
        <is>
          <t>CABLE, PWR, 72V,RA,6.5FT (78").,RR-070,RCCR</t>
        </is>
      </c>
      <c r="C46" t="inlineStr">
        <is>
          <t>Connectivity</t>
        </is>
      </c>
      <c r="D46" t="inlineStr">
        <is>
          <t>VOICE RADIO</t>
        </is>
      </c>
      <c r="E46" t="n">
        <v>1</v>
      </c>
      <c r="F46" t="inlineStr">
        <is>
          <t>Imported (USA)</t>
        </is>
      </c>
      <c r="G46" s="3" t="n">
        <v>159</v>
      </c>
      <c r="H46" s="4" t="n"/>
    </row>
    <row r="47">
      <c r="A47" t="inlineStr">
        <is>
          <t>41A216641P158</t>
        </is>
      </c>
      <c r="B47" t="inlineStr">
        <is>
          <t>SNIO CONNECTOR 3</t>
        </is>
      </c>
      <c r="C47" t="inlineStr">
        <is>
          <t>Controls (MCA, train control, er etc)</t>
        </is>
      </c>
      <c r="D47" t="inlineStr">
        <is>
          <t>Wiring</t>
        </is>
      </c>
      <c r="E47" t="n">
        <v>2</v>
      </c>
      <c r="F47" t="inlineStr">
        <is>
          <t>PAC (Brazil, nationalized)</t>
        </is>
      </c>
      <c r="G47" s="3" t="n"/>
      <c r="H47" s="4" t="n">
        <v>649.5972609459074</v>
      </c>
      <c r="I47" s="5" t="n">
        <v>0.091</v>
      </c>
      <c r="J47" t="inlineStr">
        <is>
          <t>High</t>
        </is>
      </c>
      <c r="K47" t="inlineStr">
        <is>
          <t>85366990</t>
        </is>
      </c>
      <c r="L47" t="inlineStr">
        <is>
          <t>3x2x3</t>
        </is>
      </c>
    </row>
    <row r="48">
      <c r="A48" t="inlineStr">
        <is>
          <t>41B546301P4</t>
        </is>
      </c>
      <c r="B48" t="inlineStr">
        <is>
          <t>DOOR INTERLOCK SWITCH</t>
        </is>
      </c>
      <c r="C48" t="inlineStr">
        <is>
          <t>Controls (MCA, train control, er etc)</t>
        </is>
      </c>
      <c r="D48" t="inlineStr">
        <is>
          <t>TRAIN CONTROL</t>
        </is>
      </c>
      <c r="E48" t="n">
        <v>1</v>
      </c>
      <c r="F48" t="inlineStr">
        <is>
          <t>PAC (Brazil, nationalized)</t>
        </is>
      </c>
      <c r="G48" s="3" t="n"/>
      <c r="H48" s="4" t="n">
        <v>1282.454710102509</v>
      </c>
      <c r="I48" s="5" t="n">
        <v>0.966</v>
      </c>
      <c r="J48" t="inlineStr">
        <is>
          <t>High</t>
        </is>
      </c>
      <c r="K48" t="inlineStr">
        <is>
          <t>85365090</t>
        </is>
      </c>
      <c r="L48" t="inlineStr">
        <is>
          <t>6x2.25x3</t>
        </is>
      </c>
    </row>
    <row r="49">
      <c r="A49" t="inlineStr">
        <is>
          <t>84A201169AKP1</t>
        </is>
      </c>
      <c r="B49" t="inlineStr">
        <is>
          <t>ENGINEERS HORN BUTTON</t>
        </is>
      </c>
      <c r="C49" t="inlineStr">
        <is>
          <t>Controls (MCA, train control, er etc)</t>
        </is>
      </c>
      <c r="D49" t="inlineStr">
        <is>
          <t>TRAIN CONTROL</t>
        </is>
      </c>
      <c r="E49" t="n">
        <v>1</v>
      </c>
      <c r="F49" t="inlineStr">
        <is>
          <t>PAC (Brazil, nationalized)</t>
        </is>
      </c>
      <c r="G49" s="3" t="n"/>
      <c r="H49" s="4" t="n">
        <v>1139.620211260358</v>
      </c>
      <c r="I49" s="5" t="n">
        <v>0.463</v>
      </c>
      <c r="J49" t="inlineStr">
        <is>
          <t>High</t>
        </is>
      </c>
      <c r="K49" t="inlineStr">
        <is>
          <t>85365090</t>
        </is>
      </c>
      <c r="L49" t="inlineStr">
        <is>
          <t>9.35x5.3x5.2</t>
        </is>
      </c>
    </row>
    <row r="50">
      <c r="A50" t="inlineStr">
        <is>
          <t>41B549523ABP101</t>
        </is>
      </c>
      <c r="B50" t="inlineStr">
        <is>
          <t>BATTERY SAVER RESET PUSH BUTTON</t>
        </is>
      </c>
      <c r="C50" t="inlineStr">
        <is>
          <t>Controls (MCA, train control, er etc)</t>
        </is>
      </c>
      <c r="D50" t="inlineStr">
        <is>
          <t>TRAIN CONTROL</t>
        </is>
      </c>
      <c r="E50" t="n">
        <v>1</v>
      </c>
      <c r="F50" t="inlineStr">
        <is>
          <t>PAC (Brazil, nationalized)</t>
        </is>
      </c>
      <c r="G50" s="3" t="n"/>
      <c r="H50" s="4" t="n">
        <v>1117.58376306</v>
      </c>
      <c r="I50" s="5" t="n">
        <v>0.215</v>
      </c>
      <c r="J50" t="inlineStr">
        <is>
          <t>High</t>
        </is>
      </c>
      <c r="K50" t="inlineStr">
        <is>
          <t>85365090</t>
        </is>
      </c>
      <c r="L50" t="inlineStr">
        <is>
          <t>3.875x1.625x2.125</t>
        </is>
      </c>
    </row>
    <row r="51">
      <c r="A51" t="inlineStr">
        <is>
          <t>41B564808G1</t>
        </is>
      </c>
      <c r="B51" t="inlineStr">
        <is>
          <t>A-DIODE ASM</t>
        </is>
      </c>
      <c r="C51" t="inlineStr">
        <is>
          <t>SKID Assembly</t>
        </is>
      </c>
      <c r="D51" t="inlineStr">
        <is>
          <t>SKID (Skid)</t>
        </is>
      </c>
      <c r="E51" t="n">
        <v>16</v>
      </c>
      <c r="F51" t="inlineStr">
        <is>
          <t>PAC (Brazil, nationalized)</t>
        </is>
      </c>
      <c r="G51" s="3" t="n"/>
      <c r="H51" s="4" t="n">
        <v>63.81299476570191</v>
      </c>
      <c r="I51" s="5" t="n">
        <v>0.045</v>
      </c>
      <c r="J51" t="inlineStr">
        <is>
          <t>High</t>
        </is>
      </c>
      <c r="K51" t="inlineStr">
        <is>
          <t>85411092</t>
        </is>
      </c>
      <c r="L51" t="inlineStr">
        <is>
          <t>3x0.75x1.5</t>
        </is>
      </c>
    </row>
    <row r="52">
      <c r="A52" t="inlineStr">
        <is>
          <t>497A365P13</t>
        </is>
      </c>
      <c r="B52" t="inlineStr">
        <is>
          <t>ALARM AND SIGNAL BELL</t>
        </is>
      </c>
      <c r="C52" t="inlineStr">
        <is>
          <t>Controls (MCA, train control, er etc)</t>
        </is>
      </c>
      <c r="D52" t="inlineStr">
        <is>
          <t>TRAIN CONTROL</t>
        </is>
      </c>
      <c r="E52" t="n">
        <v>1</v>
      </c>
      <c r="F52" t="inlineStr">
        <is>
          <t>PAC (Brazil, nationalized)</t>
        </is>
      </c>
      <c r="G52" s="3" t="n"/>
      <c r="H52" s="4" t="n">
        <v>975.6429302812419</v>
      </c>
      <c r="I52" s="5" t="n">
        <v>0.962</v>
      </c>
      <c r="J52" t="inlineStr">
        <is>
          <t>High</t>
        </is>
      </c>
      <c r="K52" t="inlineStr">
        <is>
          <t>85318000</t>
        </is>
      </c>
      <c r="L52" t="inlineStr">
        <is>
          <t>7x3.25x4.75</t>
        </is>
      </c>
    </row>
    <row r="53">
      <c r="A53" t="inlineStr">
        <is>
          <t>84A201850P5</t>
        </is>
      </c>
      <c r="B53" t="inlineStr">
        <is>
          <t>AC-ROTARY SWITCH</t>
        </is>
      </c>
      <c r="C53" t="inlineStr">
        <is>
          <t>SKID Assembly</t>
        </is>
      </c>
      <c r="D53" t="inlineStr">
        <is>
          <t>SKID (Skid)</t>
        </is>
      </c>
      <c r="E53" t="n">
        <v>1</v>
      </c>
      <c r="F53" t="inlineStr">
        <is>
          <t>PAC (Brazil, nationalized)</t>
        </is>
      </c>
      <c r="G53" s="3" t="n"/>
      <c r="H53" s="4" t="n">
        <v>946.5515381766586</v>
      </c>
      <c r="I53" s="5" t="n">
        <v>0.177</v>
      </c>
      <c r="J53" t="inlineStr">
        <is>
          <t>High</t>
        </is>
      </c>
      <c r="K53" t="inlineStr">
        <is>
          <t>85365090</t>
        </is>
      </c>
      <c r="L53" t="inlineStr">
        <is>
          <t>5.2x2.9x3.35</t>
        </is>
      </c>
    </row>
    <row r="54">
      <c r="A54" t="inlineStr">
        <is>
          <t>41A216641P235</t>
        </is>
      </c>
      <c r="B54" t="inlineStr">
        <is>
          <t>GOLINC / ACC POWER CONNECTOR</t>
        </is>
      </c>
      <c r="C54" t="inlineStr">
        <is>
          <t>Controls (MCA, train control, er etc)</t>
        </is>
      </c>
      <c r="D54" t="inlineStr">
        <is>
          <t>Wiring</t>
        </is>
      </c>
      <c r="E54" t="n">
        <v>3</v>
      </c>
      <c r="F54" t="inlineStr">
        <is>
          <t>PAC (Brazil, nationalized)</t>
        </is>
      </c>
      <c r="G54" s="3" t="n"/>
      <c r="H54" s="4" t="n">
        <v>303.7320157473332</v>
      </c>
      <c r="I54" s="5" t="n">
        <v>0.043</v>
      </c>
      <c r="J54" t="inlineStr">
        <is>
          <t>High</t>
        </is>
      </c>
      <c r="K54" t="inlineStr">
        <is>
          <t>85359090</t>
        </is>
      </c>
      <c r="L54" t="inlineStr">
        <is>
          <t>4.52x1.35x6.95</t>
        </is>
      </c>
    </row>
    <row r="55">
      <c r="A55" t="inlineStr">
        <is>
          <t>84A206730P1</t>
        </is>
      </c>
      <c r="B55" t="inlineStr">
        <is>
          <t>565" / CABLE 5 PAIR</t>
        </is>
      </c>
      <c r="C55" t="inlineStr">
        <is>
          <t>Controls (MCA, train control, er etc)</t>
        </is>
      </c>
      <c r="D55" t="inlineStr">
        <is>
          <t>Wiring</t>
        </is>
      </c>
      <c r="E55" t="n">
        <v>50</v>
      </c>
      <c r="F55" t="inlineStr">
        <is>
          <t>PAC (Brazil, nationalized)</t>
        </is>
      </c>
      <c r="G55" s="3" t="n"/>
      <c r="H55" s="4" t="n">
        <v>17.96488796336743</v>
      </c>
      <c r="I55" s="5" t="n">
        <v>0.041</v>
      </c>
      <c r="J55" t="inlineStr">
        <is>
          <t>High</t>
        </is>
      </c>
      <c r="K55" t="inlineStr">
        <is>
          <t>85444900</t>
        </is>
      </c>
      <c r="L55" t="inlineStr">
        <is>
          <t>12x0.5x0.5</t>
        </is>
      </c>
    </row>
    <row r="56">
      <c r="A56" t="inlineStr">
        <is>
          <t>41B549523ADP108</t>
        </is>
      </c>
      <c r="B56" t="inlineStr">
        <is>
          <t>VIGILANCE RESET SWITCH</t>
        </is>
      </c>
      <c r="C56" t="inlineStr">
        <is>
          <t>Controls (MCA, train control, er etc)</t>
        </is>
      </c>
      <c r="D56" t="inlineStr">
        <is>
          <t>TRAIN CONTROL</t>
        </is>
      </c>
      <c r="E56" t="n">
        <v>1</v>
      </c>
      <c r="F56" t="inlineStr">
        <is>
          <t>PAC (Brazil, nationalized)</t>
        </is>
      </c>
      <c r="G56" s="3" t="n"/>
      <c r="H56" s="4" t="n">
        <v>803.9672625806097</v>
      </c>
      <c r="I56" s="5" t="n">
        <v>0.204</v>
      </c>
      <c r="J56" t="inlineStr">
        <is>
          <t>High</t>
        </is>
      </c>
      <c r="K56" t="inlineStr">
        <is>
          <t>85365090</t>
        </is>
      </c>
      <c r="L56" t="inlineStr">
        <is>
          <t>4x2.5x2.5</t>
        </is>
      </c>
    </row>
    <row r="57">
      <c r="A57" t="inlineStr">
        <is>
          <t>41A317303ACP49</t>
        </is>
      </c>
      <c r="B57" t="inlineStr">
        <is>
          <t>AIR RESERVOIR
PRESSURE
SENSOR</t>
        </is>
      </c>
      <c r="C57" t="inlineStr">
        <is>
          <t>Controls (MCA, train control, er etc)</t>
        </is>
      </c>
      <c r="D57" t="inlineStr">
        <is>
          <t>MCA</t>
        </is>
      </c>
      <c r="E57" t="n">
        <v>1</v>
      </c>
      <c r="F57" t="inlineStr">
        <is>
          <t>PAC (Brazil, nationalized)</t>
        </is>
      </c>
      <c r="G57" s="3" t="n"/>
      <c r="H57" s="4" t="n">
        <v>749.1604054445767</v>
      </c>
      <c r="I57" s="5" t="n">
        <v>0.045</v>
      </c>
      <c r="J57" t="inlineStr">
        <is>
          <t>High</t>
        </is>
      </c>
      <c r="K57" t="inlineStr">
        <is>
          <t>90262090</t>
        </is>
      </c>
      <c r="L57" t="inlineStr">
        <is>
          <t>2.9x0.5x0.5</t>
        </is>
      </c>
    </row>
    <row r="58">
      <c r="A58" t="inlineStr">
        <is>
          <t>41A216641AMP126</t>
        </is>
      </c>
      <c r="B58" t="inlineStr">
        <is>
          <t>NIO1D CONNECTOR BACKSHELL</t>
        </is>
      </c>
      <c r="C58" t="inlineStr">
        <is>
          <t>Controls (MCA, train control, er etc)</t>
        </is>
      </c>
      <c r="D58" t="inlineStr">
        <is>
          <t>Wiring</t>
        </is>
      </c>
      <c r="E58" t="n">
        <v>3</v>
      </c>
      <c r="F58" t="inlineStr">
        <is>
          <t>Imported (USA)</t>
        </is>
      </c>
      <c r="G58" s="3" t="n">
        <v>29.9096</v>
      </c>
      <c r="H58" s="4" t="n"/>
      <c r="I58" s="5" t="n">
        <v>0</v>
      </c>
      <c r="J58" t="inlineStr">
        <is>
          <t>High</t>
        </is>
      </c>
      <c r="L58" t="inlineStr">
        <is>
          <t>0x0x0</t>
        </is>
      </c>
    </row>
    <row r="59">
      <c r="A59" t="inlineStr">
        <is>
          <t>84A215329P1</t>
        </is>
      </c>
      <c r="B59" t="inlineStr">
        <is>
          <t>ENGINE STOP SWITCH</t>
        </is>
      </c>
      <c r="C59" t="inlineStr">
        <is>
          <t>Controls (MCA, train control, er etc)</t>
        </is>
      </c>
      <c r="D59" t="inlineStr">
        <is>
          <t>TRAIN CONTROL</t>
        </is>
      </c>
      <c r="E59" t="n">
        <v>1</v>
      </c>
      <c r="F59" t="inlineStr">
        <is>
          <t>PAC (Brazil, nationalized)</t>
        </is>
      </c>
      <c r="G59" s="3" t="n"/>
      <c r="H59" s="4" t="n">
        <v>702.9855310248125</v>
      </c>
      <c r="I59" s="5" t="n">
        <v>0.175</v>
      </c>
      <c r="J59" t="inlineStr">
        <is>
          <t>High</t>
        </is>
      </c>
      <c r="K59" t="inlineStr">
        <is>
          <t>85365090</t>
        </is>
      </c>
      <c r="L59" t="inlineStr">
        <is>
          <t>1.75x3.25x2.75</t>
        </is>
      </c>
    </row>
    <row r="60">
      <c r="A60" t="inlineStr">
        <is>
          <t>41A296328ASP3</t>
        </is>
      </c>
      <c r="B60" t="inlineStr">
        <is>
          <t>BATTERY TEMPERATURE SENSOR</t>
        </is>
      </c>
      <c r="C60" t="inlineStr">
        <is>
          <t>Controls (MCA, train control, er etc)</t>
        </is>
      </c>
      <c r="D60" t="inlineStr">
        <is>
          <t>Power</t>
        </is>
      </c>
      <c r="E60" t="n">
        <v>1</v>
      </c>
      <c r="F60" t="inlineStr">
        <is>
          <t>PAC (Brazil, nationalized)</t>
        </is>
      </c>
      <c r="G60" s="3" t="n"/>
      <c r="H60" s="4" t="n">
        <v>695.0807882115457</v>
      </c>
      <c r="I60" s="5" t="n">
        <v>0.422</v>
      </c>
      <c r="J60" t="inlineStr">
        <is>
          <t>High</t>
        </is>
      </c>
      <c r="K60" t="inlineStr">
        <is>
          <t>90251990</t>
        </is>
      </c>
      <c r="L60" t="inlineStr">
        <is>
          <t>9.5x1.5x9.5</t>
        </is>
      </c>
    </row>
    <row r="61">
      <c r="A61" t="inlineStr">
        <is>
          <t>41A216641ABP45</t>
        </is>
      </c>
      <c r="B61" t="inlineStr">
        <is>
          <t>DUAL PROCESSOR MODULE 
CONNECTOR</t>
        </is>
      </c>
      <c r="C61" t="inlineStr">
        <is>
          <t>Controls (MCA, train control, er etc)</t>
        </is>
      </c>
      <c r="D61" t="inlineStr">
        <is>
          <t>Wiring</t>
        </is>
      </c>
      <c r="E61" t="n">
        <v>2</v>
      </c>
      <c r="F61" t="inlineStr">
        <is>
          <t>PAC (Brazil, nationalized)</t>
        </is>
      </c>
      <c r="G61" s="3" t="n"/>
      <c r="H61" s="4" t="n">
        <v>346.9724620785378</v>
      </c>
      <c r="I61" s="5" t="n">
        <v>0.058</v>
      </c>
      <c r="J61" t="inlineStr">
        <is>
          <t>High</t>
        </is>
      </c>
      <c r="K61" t="inlineStr">
        <is>
          <t>85369090</t>
        </is>
      </c>
      <c r="L61" t="inlineStr">
        <is>
          <t>2x1x1</t>
        </is>
      </c>
    </row>
    <row r="62">
      <c r="A62" t="inlineStr">
        <is>
          <t>84A232147P2</t>
        </is>
      </c>
      <c r="B62" t="inlineStr">
        <is>
          <t>PIN            REAR HOLD-DOWN</t>
        </is>
      </c>
      <c r="C62" t="inlineStr">
        <is>
          <t>Controls (MCA, train control, er etc)</t>
        </is>
      </c>
      <c r="D62" t="inlineStr">
        <is>
          <t>TRAIN CONTROL</t>
        </is>
      </c>
      <c r="E62" t="n">
        <v>30</v>
      </c>
      <c r="F62" t="inlineStr">
        <is>
          <t>PAC (Brazil, nationalized)</t>
        </is>
      </c>
      <c r="G62" s="3" t="n"/>
      <c r="H62" s="4" t="n">
        <v>22.8021444078655</v>
      </c>
      <c r="I62" s="5" t="n">
        <v>0.005</v>
      </c>
      <c r="J62" t="inlineStr">
        <is>
          <t>High</t>
        </is>
      </c>
      <c r="K62" t="inlineStr">
        <is>
          <t>73182900</t>
        </is>
      </c>
      <c r="L62" t="inlineStr">
        <is>
          <t>1x0.125x0.125</t>
        </is>
      </c>
    </row>
    <row r="63">
      <c r="A63" t="inlineStr">
        <is>
          <t>41A321053G1</t>
        </is>
      </c>
      <c r="B63" t="inlineStr">
        <is>
          <t>Power Resistor</t>
        </is>
      </c>
      <c r="C63" t="inlineStr">
        <is>
          <t>Power</t>
        </is>
      </c>
      <c r="D63" t="inlineStr">
        <is>
          <t>Resistor</t>
        </is>
      </c>
      <c r="E63" t="n">
        <v>1</v>
      </c>
      <c r="F63" t="inlineStr">
        <is>
          <t>PAC (Brazil, nationalized)</t>
        </is>
      </c>
      <c r="G63" s="3" t="n"/>
      <c r="H63" s="4" t="n">
        <v>682.4547468272788</v>
      </c>
      <c r="I63" s="5" t="n">
        <v>3.629</v>
      </c>
      <c r="J63" t="inlineStr">
        <is>
          <t>High</t>
        </is>
      </c>
      <c r="K63" t="inlineStr">
        <is>
          <t>85332900</t>
        </is>
      </c>
      <c r="L63" t="inlineStr">
        <is>
          <t>12x3x7.5</t>
        </is>
      </c>
    </row>
    <row r="64">
      <c r="A64" t="inlineStr">
        <is>
          <t>17 pin MS3106-20-29F</t>
        </is>
      </c>
      <c r="B64" t="inlineStr">
        <is>
          <t>Head of Train Device - Padom - J2 Connector</t>
        </is>
      </c>
      <c r="C64" t="inlineStr">
        <is>
          <t>Controls (MCA, train control, er etc)</t>
        </is>
      </c>
      <c r="D64" t="inlineStr">
        <is>
          <t>Wiring</t>
        </is>
      </c>
      <c r="E64" t="n">
        <v>1</v>
      </c>
      <c r="F64" t="inlineStr">
        <is>
          <t>Imported (USA)</t>
        </is>
      </c>
      <c r="G64" s="3" t="n">
        <v>79.83</v>
      </c>
      <c r="H64" s="4" t="n"/>
    </row>
    <row r="65">
      <c r="A65" t="inlineStr">
        <is>
          <t>41A216641P157</t>
        </is>
      </c>
      <c r="B65" t="inlineStr">
        <is>
          <t>SNIO CONNECTOR 2</t>
        </is>
      </c>
      <c r="C65" t="inlineStr">
        <is>
          <t>Controls (MCA, train control, er etc)</t>
        </is>
      </c>
      <c r="D65" t="inlineStr">
        <is>
          <t>Wiring</t>
        </is>
      </c>
      <c r="E65" t="n">
        <v>1</v>
      </c>
      <c r="F65" t="inlineStr">
        <is>
          <t>PAC (Brazil, nationalized)</t>
        </is>
      </c>
      <c r="G65" s="3" t="n"/>
      <c r="H65" s="4" t="n">
        <v>625.709413769385</v>
      </c>
      <c r="I65" s="5" t="n">
        <v>0.096</v>
      </c>
      <c r="J65" t="inlineStr">
        <is>
          <t>High</t>
        </is>
      </c>
      <c r="K65" t="inlineStr">
        <is>
          <t>85366990</t>
        </is>
      </c>
      <c r="L65" t="inlineStr">
        <is>
          <t>2.5x1.5x1.5</t>
        </is>
      </c>
    </row>
    <row r="66">
      <c r="A66" t="inlineStr">
        <is>
          <t>41A216641AMP125</t>
        </is>
      </c>
      <c r="B66" t="inlineStr">
        <is>
          <t>NIO1A CONNECTOR BACKSHELL</t>
        </is>
      </c>
      <c r="C66" t="inlineStr">
        <is>
          <t>Controls (MCA, train control, er etc)</t>
        </is>
      </c>
      <c r="D66" t="inlineStr">
        <is>
          <t>Wiring</t>
        </is>
      </c>
      <c r="E66" t="n">
        <v>3</v>
      </c>
      <c r="F66" t="inlineStr">
        <is>
          <t>Imported (USA)</t>
        </is>
      </c>
      <c r="G66" s="3" t="n">
        <v>24.1998</v>
      </c>
      <c r="H66" s="4" t="n"/>
      <c r="I66" s="5" t="n">
        <v>0.005</v>
      </c>
      <c r="J66" t="inlineStr">
        <is>
          <t>High</t>
        </is>
      </c>
      <c r="L66" t="inlineStr">
        <is>
          <t>0x0x0</t>
        </is>
      </c>
    </row>
    <row r="67">
      <c r="A67" t="inlineStr">
        <is>
          <t>5088-7000-P4611-0000000-ND‎</t>
        </is>
      </c>
      <c r="B67" t="inlineStr">
        <is>
          <t>POE Power Connector on SMM2 (M12 FEMALE 0 L-CODED FIELD-WIREA)</t>
        </is>
      </c>
      <c r="C67" t="inlineStr">
        <is>
          <t>Controls (MCA, train control, er etc)</t>
        </is>
      </c>
      <c r="D67" t="inlineStr">
        <is>
          <t>TRAIN CONTROL</t>
        </is>
      </c>
      <c r="E67" t="n">
        <v>1</v>
      </c>
      <c r="F67" t="inlineStr">
        <is>
          <t>Imported (USA)</t>
        </is>
      </c>
      <c r="G67" s="3" t="n">
        <v>72.41</v>
      </c>
      <c r="H67" s="4" t="n"/>
    </row>
    <row r="68">
      <c r="A68" t="inlineStr">
        <is>
          <t>41A296352PTP67</t>
        </is>
      </c>
      <c r="B68" t="inlineStr">
        <is>
          <t>CABLE CSX 12V P WR CBL</t>
        </is>
      </c>
      <c r="C68" t="inlineStr">
        <is>
          <t>Controls (MCA, train control, er etc)</t>
        </is>
      </c>
      <c r="D68" t="inlineStr">
        <is>
          <t>MCA</t>
        </is>
      </c>
      <c r="E68" t="n">
        <v>1</v>
      </c>
      <c r="F68" t="inlineStr">
        <is>
          <t>Imported (USA)</t>
        </is>
      </c>
      <c r="G68" s="3" t="n">
        <v>71.94</v>
      </c>
      <c r="H68" s="4" t="n"/>
    </row>
    <row r="69">
      <c r="A69" t="inlineStr">
        <is>
          <t>41A296352PTP69</t>
        </is>
      </c>
      <c r="B69" t="inlineStr">
        <is>
          <t>CABLE CSX 74V P WR CBL</t>
        </is>
      </c>
      <c r="C69" t="inlineStr">
        <is>
          <t>Controls (MCA, train control, er etc)</t>
        </is>
      </c>
      <c r="D69" t="inlineStr">
        <is>
          <t>MCA</t>
        </is>
      </c>
      <c r="E69" t="n">
        <v>1</v>
      </c>
      <c r="F69" t="inlineStr">
        <is>
          <t>Imported (USA)</t>
        </is>
      </c>
      <c r="G69" s="3" t="n">
        <v>71.94</v>
      </c>
      <c r="H69" s="4" t="n"/>
    </row>
    <row r="70">
      <c r="A70" t="inlineStr">
        <is>
          <t>41A216641AMP93</t>
        </is>
      </c>
      <c r="B70" t="inlineStr">
        <is>
          <t>NIO1E CONNECTOR</t>
        </is>
      </c>
      <c r="C70" t="inlineStr">
        <is>
          <t>Controls (MCA, train control, er etc)</t>
        </is>
      </c>
      <c r="D70" t="inlineStr">
        <is>
          <t>Wiring</t>
        </is>
      </c>
      <c r="E70" t="n">
        <v>3</v>
      </c>
      <c r="F70" t="inlineStr">
        <is>
          <t>Imported (USA)</t>
        </is>
      </c>
      <c r="G70" s="3" t="n">
        <v>23.9499</v>
      </c>
      <c r="H70" s="4" t="n"/>
      <c r="I70" s="5" t="n">
        <v>0.054</v>
      </c>
      <c r="J70" t="inlineStr">
        <is>
          <t>High</t>
        </is>
      </c>
      <c r="L70" t="inlineStr">
        <is>
          <t>0x0x0</t>
        </is>
      </c>
    </row>
    <row r="71">
      <c r="A71" t="inlineStr">
        <is>
          <t>41B549523ADP1</t>
        </is>
      </c>
      <c r="B71" t="inlineStr">
        <is>
          <t>Black push Button</t>
        </is>
      </c>
      <c r="C71" t="inlineStr">
        <is>
          <t>SKID Assembly</t>
        </is>
      </c>
      <c r="D71" t="inlineStr">
        <is>
          <t>Use in place of al levers and other push buttons</t>
        </is>
      </c>
      <c r="E71" t="n">
        <v>1</v>
      </c>
      <c r="F71" t="inlineStr">
        <is>
          <t>PAC (Brazil, nationalized)</t>
        </is>
      </c>
      <c r="G71" s="3" t="n"/>
      <c r="H71" s="4" t="n">
        <v>565.5667330867959</v>
      </c>
      <c r="I71" s="5" t="n">
        <v>0.142</v>
      </c>
      <c r="J71" t="inlineStr">
        <is>
          <t>High</t>
        </is>
      </c>
      <c r="K71" t="inlineStr">
        <is>
          <t>85365090</t>
        </is>
      </c>
      <c r="L71" t="inlineStr">
        <is>
          <t>4x2.125x2.125</t>
        </is>
      </c>
    </row>
    <row r="72">
      <c r="A72" t="inlineStr">
        <is>
          <t>41B549523ADP2</t>
        </is>
      </c>
      <c r="B72" t="inlineStr">
        <is>
          <t>SWITCH PUSH BUTTON</t>
        </is>
      </c>
      <c r="C72" t="inlineStr">
        <is>
          <t>SKID Assembly</t>
        </is>
      </c>
      <c r="D72" t="inlineStr">
        <is>
          <t>SKID (Skid)</t>
        </is>
      </c>
      <c r="E72" t="n">
        <v>1</v>
      </c>
      <c r="F72" t="inlineStr">
        <is>
          <t>PAC (Brazil, nationalized)</t>
        </is>
      </c>
      <c r="G72" s="3" t="n"/>
      <c r="H72" s="4" t="n">
        <v>542.7109546658806</v>
      </c>
      <c r="I72" s="5" t="n">
        <v>0.141</v>
      </c>
      <c r="J72" t="inlineStr">
        <is>
          <t>High</t>
        </is>
      </c>
      <c r="K72" t="inlineStr">
        <is>
          <t>85365090</t>
        </is>
      </c>
      <c r="L72" t="inlineStr">
        <is>
          <t>1.95x2.7x1.8</t>
        </is>
      </c>
    </row>
    <row r="73">
      <c r="A73" t="inlineStr">
        <is>
          <t>41A296328APP5</t>
        </is>
      </c>
      <c r="B73" t="inlineStr">
        <is>
          <t>BATTERY CURRENT SENSOR</t>
        </is>
      </c>
      <c r="C73" t="inlineStr">
        <is>
          <t>Controls (MCA, train control, er etc)</t>
        </is>
      </c>
      <c r="D73" t="inlineStr">
        <is>
          <t>MCA</t>
        </is>
      </c>
      <c r="E73" t="n">
        <v>1</v>
      </c>
      <c r="F73" t="inlineStr">
        <is>
          <t>PAC (Brazil, nationalized)</t>
        </is>
      </c>
      <c r="G73" s="3" t="n"/>
      <c r="H73" s="4" t="n">
        <v>530.7161691061002</v>
      </c>
      <c r="I73" s="5" t="n">
        <v>0.575</v>
      </c>
      <c r="J73" t="inlineStr">
        <is>
          <t>High</t>
        </is>
      </c>
      <c r="K73" t="inlineStr">
        <is>
          <t>90303390</t>
        </is>
      </c>
      <c r="L73" t="inlineStr">
        <is>
          <t>4.75x1.25x4</t>
        </is>
      </c>
    </row>
    <row r="74">
      <c r="A74" t="inlineStr">
        <is>
          <t>41A216641AMP103</t>
        </is>
      </c>
      <c r="B74" t="inlineStr">
        <is>
          <t>NIO1D CONNECTOR</t>
        </is>
      </c>
      <c r="C74" t="inlineStr">
        <is>
          <t>Controls (MCA, train control, er etc)</t>
        </is>
      </c>
      <c r="D74" t="inlineStr">
        <is>
          <t>Wiring</t>
        </is>
      </c>
      <c r="E74" t="n">
        <v>3</v>
      </c>
      <c r="F74" t="inlineStr">
        <is>
          <t>Imported (USA)</t>
        </is>
      </c>
      <c r="G74" s="3" t="n">
        <v>21.2198</v>
      </c>
      <c r="H74" s="4" t="n"/>
      <c r="I74" s="5" t="n">
        <v>0.045</v>
      </c>
      <c r="J74" t="inlineStr">
        <is>
          <t>High</t>
        </is>
      </c>
      <c r="L74" t="inlineStr">
        <is>
          <t>1.5x1x1.5</t>
        </is>
      </c>
    </row>
    <row r="75">
      <c r="A75" t="inlineStr">
        <is>
          <t>16246P</t>
        </is>
      </c>
      <c r="B75" t="inlineStr">
        <is>
          <t>Flexi-Axle - WRE Part Number: 16246P</t>
        </is>
      </c>
      <c r="C75" t="inlineStr">
        <is>
          <t>PTC</t>
        </is>
      </c>
      <c r="D75" t="inlineStr">
        <is>
          <t>PTC</t>
        </is>
      </c>
      <c r="E75" t="n">
        <v>1</v>
      </c>
      <c r="F75" t="inlineStr">
        <is>
          <t>Imported (USA)</t>
        </is>
      </c>
      <c r="G75" s="3" t="n">
        <v>59.75</v>
      </c>
      <c r="H75" s="4" t="n"/>
    </row>
    <row r="76">
      <c r="A76" t="inlineStr">
        <is>
          <t>41A216641AMP99</t>
        </is>
      </c>
      <c r="B76" t="inlineStr">
        <is>
          <t>NIO1B CONNECTOR</t>
        </is>
      </c>
      <c r="C76" t="inlineStr">
        <is>
          <t>Controls (MCA, train control, er etc)</t>
        </is>
      </c>
      <c r="D76" t="inlineStr">
        <is>
          <t>Wiring</t>
        </is>
      </c>
      <c r="E76" t="n">
        <v>3</v>
      </c>
      <c r="F76" t="inlineStr">
        <is>
          <t>Imported (USA)</t>
        </is>
      </c>
      <c r="G76" s="3" t="n">
        <v>19.67</v>
      </c>
      <c r="H76" s="4" t="n"/>
      <c r="I76" s="5" t="n">
        <v>0</v>
      </c>
      <c r="J76" t="inlineStr">
        <is>
          <t>High</t>
        </is>
      </c>
      <c r="L76" t="inlineStr">
        <is>
          <t>0x0x0</t>
        </is>
      </c>
    </row>
    <row r="77">
      <c r="A77" t="inlineStr">
        <is>
          <t>41A216641AMP123</t>
        </is>
      </c>
      <c r="B77" t="inlineStr">
        <is>
          <t>NIO1F CONNECTOR BACKSHELL</t>
        </is>
      </c>
      <c r="C77" t="inlineStr">
        <is>
          <t>Controls (MCA, train control, er etc)</t>
        </is>
      </c>
      <c r="D77" t="inlineStr">
        <is>
          <t>Wiring</t>
        </is>
      </c>
      <c r="E77" t="n">
        <v>3</v>
      </c>
      <c r="F77" t="inlineStr">
        <is>
          <t>Imported (USA)</t>
        </is>
      </c>
      <c r="G77" s="3" t="n">
        <v>19.5574</v>
      </c>
      <c r="H77" s="4" t="n"/>
      <c r="I77" s="5" t="n">
        <v>0.02</v>
      </c>
      <c r="J77" t="inlineStr">
        <is>
          <t>High</t>
        </is>
      </c>
      <c r="L77" t="inlineStr">
        <is>
          <t>0x0x0</t>
        </is>
      </c>
    </row>
    <row r="78">
      <c r="A78" t="inlineStr">
        <is>
          <t>41A216641P140</t>
        </is>
      </c>
      <c r="B78" t="inlineStr">
        <is>
          <t>Part NumberEUMATIC OPERATING UNIT
CONNECTOR - 5</t>
        </is>
      </c>
      <c r="C78" t="inlineStr">
        <is>
          <t>Air</t>
        </is>
      </c>
      <c r="D78" t="inlineStr">
        <is>
          <t>Fastbrake</t>
        </is>
      </c>
      <c r="E78" t="n">
        <v>1</v>
      </c>
      <c r="F78" t="inlineStr">
        <is>
          <t>PAC (Brazil, nationalized)</t>
        </is>
      </c>
      <c r="G78" s="3" t="n"/>
      <c r="H78" s="4" t="n">
        <v>480.42768458</v>
      </c>
      <c r="I78" s="5" t="n">
        <v>0.091</v>
      </c>
      <c r="J78" t="inlineStr">
        <is>
          <t>High</t>
        </is>
      </c>
      <c r="K78" t="inlineStr">
        <is>
          <t>85369090</t>
        </is>
      </c>
      <c r="L78" t="inlineStr">
        <is>
          <t>4x2x4</t>
        </is>
      </c>
    </row>
    <row r="79">
      <c r="A79" t="inlineStr">
        <is>
          <t>41A216641AMP100</t>
        </is>
      </c>
      <c r="B79" t="inlineStr">
        <is>
          <t>NIO1C CONNECTOR</t>
        </is>
      </c>
      <c r="C79" t="inlineStr">
        <is>
          <t>Controls (MCA, train control, er etc)</t>
        </is>
      </c>
      <c r="D79" t="inlineStr">
        <is>
          <t>Wiring</t>
        </is>
      </c>
      <c r="E79" t="n">
        <v>3</v>
      </c>
      <c r="F79" t="inlineStr">
        <is>
          <t>Imported (USA)</t>
        </is>
      </c>
      <c r="G79" s="3" t="n">
        <v>19.173</v>
      </c>
      <c r="H79" s="4" t="n"/>
      <c r="I79" s="5" t="n">
        <v>0</v>
      </c>
      <c r="J79" t="inlineStr">
        <is>
          <t>High</t>
        </is>
      </c>
      <c r="L79" t="inlineStr">
        <is>
          <t>0x0x0</t>
        </is>
      </c>
    </row>
    <row r="80">
      <c r="A80" t="inlineStr">
        <is>
          <t>41A216641P53</t>
        </is>
      </c>
      <c r="B80" t="inlineStr">
        <is>
          <t>SNIO CONNECTOR 1</t>
        </is>
      </c>
      <c r="C80" t="inlineStr">
        <is>
          <t>Controls (MCA, train control, er etc)</t>
        </is>
      </c>
      <c r="D80" t="inlineStr">
        <is>
          <t>Wiring</t>
        </is>
      </c>
      <c r="E80" t="n">
        <v>1</v>
      </c>
      <c r="F80" t="inlineStr">
        <is>
          <t>PAC (Brazil, nationalized)</t>
        </is>
      </c>
      <c r="G80" s="3" t="n"/>
      <c r="H80" s="4" t="n">
        <v>472.9130251471875</v>
      </c>
      <c r="I80" s="5" t="n">
        <v>0.093</v>
      </c>
      <c r="J80" t="inlineStr">
        <is>
          <t>High</t>
        </is>
      </c>
      <c r="K80" t="inlineStr">
        <is>
          <t>85366990</t>
        </is>
      </c>
      <c r="L80" t="inlineStr">
        <is>
          <t>5.85x1.95x3.9</t>
        </is>
      </c>
    </row>
    <row r="81">
      <c r="A81" t="inlineStr">
        <is>
          <t>41A216641AMP86</t>
        </is>
      </c>
      <c r="B81" t="inlineStr">
        <is>
          <t>NIO1F CONNECTOR</t>
        </is>
      </c>
      <c r="C81" t="inlineStr">
        <is>
          <t>Controls (MCA, train control, er etc)</t>
        </is>
      </c>
      <c r="D81" t="inlineStr">
        <is>
          <t>Wiring</t>
        </is>
      </c>
      <c r="E81" t="n">
        <v>3</v>
      </c>
      <c r="F81" t="inlineStr">
        <is>
          <t>Imported (USA)</t>
        </is>
      </c>
      <c r="G81" s="3" t="n">
        <v>18.9357</v>
      </c>
      <c r="H81" s="4" t="n"/>
      <c r="I81" s="5" t="n">
        <v>0.032</v>
      </c>
      <c r="J81" t="inlineStr">
        <is>
          <t>High</t>
        </is>
      </c>
      <c r="L81" t="inlineStr">
        <is>
          <t>3.95x1.25x6.65</t>
        </is>
      </c>
    </row>
    <row r="82">
      <c r="A82" t="inlineStr">
        <is>
          <t>41A216641P141</t>
        </is>
      </c>
      <c r="B82" t="inlineStr">
        <is>
          <t>Part NumberEUMATIC OPERATING UNIT
CONNECTOR - 7</t>
        </is>
      </c>
      <c r="C82" t="inlineStr">
        <is>
          <t>Air</t>
        </is>
      </c>
      <c r="D82" t="inlineStr">
        <is>
          <t>Fastbrake</t>
        </is>
      </c>
      <c r="E82" t="n">
        <v>1</v>
      </c>
      <c r="F82" t="inlineStr">
        <is>
          <t>PAC (Brazil, nationalized)</t>
        </is>
      </c>
      <c r="G82" s="3" t="n"/>
      <c r="H82" s="4" t="n">
        <v>455.99945986</v>
      </c>
      <c r="I82" s="5" t="n">
        <v>0.068</v>
      </c>
      <c r="J82" t="inlineStr">
        <is>
          <t>High</t>
        </is>
      </c>
      <c r="K82" t="inlineStr">
        <is>
          <t>85369090</t>
        </is>
      </c>
      <c r="L82" t="inlineStr">
        <is>
          <t>4x2x3</t>
        </is>
      </c>
    </row>
    <row r="83">
      <c r="A83" t="inlineStr">
        <is>
          <t>41A212414P35</t>
        </is>
      </c>
      <c r="B83" t="inlineStr">
        <is>
          <t>CIRCUIT BREAKER 1P</t>
        </is>
      </c>
      <c r="C83" t="inlineStr">
        <is>
          <t>SKID Assembly</t>
        </is>
      </c>
      <c r="D83" t="inlineStr">
        <is>
          <t>SKID (Skid)</t>
        </is>
      </c>
      <c r="E83" t="n">
        <v>6</v>
      </c>
      <c r="F83" t="inlineStr">
        <is>
          <t>PAC (Brazil, nationalized)</t>
        </is>
      </c>
      <c r="G83" s="3" t="n"/>
      <c r="H83" s="4" t="n">
        <v>75.61831999260301</v>
      </c>
      <c r="I83" s="5" t="n">
        <v>0.095</v>
      </c>
      <c r="J83" t="inlineStr">
        <is>
          <t>High</t>
        </is>
      </c>
      <c r="K83" t="inlineStr">
        <is>
          <t>85362000</t>
        </is>
      </c>
      <c r="L83" t="inlineStr">
        <is>
          <t>3.1x0.7x2.45</t>
        </is>
      </c>
    </row>
    <row r="84">
      <c r="A84" t="inlineStr">
        <is>
          <t>41A212414P73</t>
        </is>
      </c>
      <c r="B84" t="inlineStr">
        <is>
          <t>BATT CHARGER &amp; COMP CIRCUIT BREAKER (2P, 20A / 50A)</t>
        </is>
      </c>
      <c r="C84" t="inlineStr">
        <is>
          <t>Controls (MCA, train control, er etc)</t>
        </is>
      </c>
      <c r="D84" t="inlineStr">
        <is>
          <t>Circuit Breaker</t>
        </is>
      </c>
      <c r="E84" t="n">
        <v>1</v>
      </c>
      <c r="F84" t="inlineStr">
        <is>
          <t>PAC (Brazil, nationalized)</t>
        </is>
      </c>
      <c r="G84" s="3" t="n"/>
      <c r="H84" s="4" t="n">
        <v>443.6886040169398</v>
      </c>
      <c r="I84" s="5" t="n">
        <v>0.39</v>
      </c>
      <c r="J84" t="inlineStr">
        <is>
          <t>High</t>
        </is>
      </c>
      <c r="K84" t="inlineStr">
        <is>
          <t>85362000</t>
        </is>
      </c>
      <c r="L84" t="inlineStr">
        <is>
          <t>3x2x2.55</t>
        </is>
      </c>
    </row>
    <row r="85">
      <c r="A85" t="inlineStr">
        <is>
          <t>41A212414P76</t>
        </is>
      </c>
      <c r="B85" t="inlineStr">
        <is>
          <t>FUEL PUMP CIRCUIT BREAKER (4P,
25A / 45A)</t>
        </is>
      </c>
      <c r="C85" t="inlineStr">
        <is>
          <t>Controls (MCA, train control, er etc)</t>
        </is>
      </c>
      <c r="D85" t="inlineStr">
        <is>
          <t>Circuit Breaker</t>
        </is>
      </c>
      <c r="E85" t="n">
        <v>1</v>
      </c>
      <c r="F85" t="inlineStr">
        <is>
          <t>PAC (Brazil, nationalized)</t>
        </is>
      </c>
      <c r="G85" s="3" t="n"/>
      <c r="H85" s="4" t="n">
        <v>427.1110017585059</v>
      </c>
      <c r="I85" s="5" t="n">
        <v>0.386</v>
      </c>
      <c r="J85" t="inlineStr">
        <is>
          <t>High</t>
        </is>
      </c>
      <c r="K85" t="inlineStr">
        <is>
          <t>85362000</t>
        </is>
      </c>
      <c r="L85" t="inlineStr">
        <is>
          <t>2.9x2.45x3.05</t>
        </is>
      </c>
    </row>
    <row r="86">
      <c r="A86" t="inlineStr">
        <is>
          <t>41A296326DDP52</t>
        </is>
      </c>
      <c r="B86" t="inlineStr">
        <is>
          <t>EMU CONNECTOR</t>
        </is>
      </c>
      <c r="C86" t="inlineStr">
        <is>
          <t>Controls (MCA, train control, er etc)</t>
        </is>
      </c>
      <c r="D86" t="inlineStr">
        <is>
          <t>Wiring</t>
        </is>
      </c>
      <c r="E86" t="n">
        <v>1</v>
      </c>
      <c r="F86" t="inlineStr">
        <is>
          <t>PAC (Brazil, nationalized)</t>
        </is>
      </c>
      <c r="G86" s="3" t="n"/>
      <c r="H86" s="4" t="n">
        <v>411.954794</v>
      </c>
      <c r="I86" s="5" t="n">
        <v>0.113</v>
      </c>
      <c r="J86" t="inlineStr">
        <is>
          <t>High</t>
        </is>
      </c>
      <c r="K86" t="inlineStr">
        <is>
          <t>85359090</t>
        </is>
      </c>
    </row>
    <row r="87">
      <c r="A87" t="inlineStr">
        <is>
          <t>84B523158P1</t>
        </is>
      </c>
      <c r="B87" t="inlineStr">
        <is>
          <t>RESERVOIR DRAIN VALVE HEATER # 1</t>
        </is>
      </c>
      <c r="C87" t="inlineStr">
        <is>
          <t>Controls (MCA, train control, er etc)</t>
        </is>
      </c>
      <c r="D87" t="inlineStr">
        <is>
          <t>TRAIN CONTROL</t>
        </is>
      </c>
      <c r="E87" t="n">
        <v>1</v>
      </c>
      <c r="F87" t="inlineStr">
        <is>
          <t>PAC (Brazil, nationalized)</t>
        </is>
      </c>
      <c r="G87" s="3" t="n"/>
      <c r="H87" s="4" t="n">
        <v>397.8067819072219</v>
      </c>
      <c r="I87" s="5" t="n">
        <v>0.272</v>
      </c>
      <c r="J87" t="inlineStr">
        <is>
          <t>High</t>
        </is>
      </c>
      <c r="K87" t="inlineStr">
        <is>
          <t>85168090</t>
        </is>
      </c>
      <c r="L87" t="inlineStr">
        <is>
          <t>9x1.5x9</t>
        </is>
      </c>
    </row>
    <row r="88">
      <c r="A88" t="inlineStr">
        <is>
          <t>41A216641P142</t>
        </is>
      </c>
      <c r="B88" t="inlineStr">
        <is>
          <t>Part NumberEUMATIC OPERATING UNIT
CONNECTOR - 8</t>
        </is>
      </c>
      <c r="C88" t="inlineStr">
        <is>
          <t>Air</t>
        </is>
      </c>
      <c r="D88" t="inlineStr">
        <is>
          <t>Fastbrake</t>
        </is>
      </c>
      <c r="E88" t="n">
        <v>1</v>
      </c>
      <c r="F88" t="inlineStr">
        <is>
          <t>PAC (Brazil, nationalized)</t>
        </is>
      </c>
      <c r="G88" s="3" t="n"/>
      <c r="H88" s="4" t="n">
        <v>386.54646388</v>
      </c>
      <c r="I88" s="5" t="n">
        <v>0.054</v>
      </c>
      <c r="J88" t="inlineStr">
        <is>
          <t>High</t>
        </is>
      </c>
      <c r="K88" t="inlineStr">
        <is>
          <t>85369090</t>
        </is>
      </c>
      <c r="L88" t="inlineStr">
        <is>
          <t>4x1x4</t>
        </is>
      </c>
    </row>
    <row r="89">
      <c r="A89" t="inlineStr">
        <is>
          <t>41A216641AMP98</t>
        </is>
      </c>
      <c r="B89" t="inlineStr">
        <is>
          <t>NIO1A CONNECTOR</t>
        </is>
      </c>
      <c r="C89" t="inlineStr">
        <is>
          <t>Controls (MCA, train control, er etc)</t>
        </is>
      </c>
      <c r="D89" t="inlineStr">
        <is>
          <t>Wiring</t>
        </is>
      </c>
      <c r="E89" t="n">
        <v>3</v>
      </c>
      <c r="F89" t="inlineStr">
        <is>
          <t>Imported (USA)</t>
        </is>
      </c>
      <c r="G89" s="3" t="n">
        <v>15.455</v>
      </c>
      <c r="H89" s="4" t="n"/>
      <c r="I89" s="5" t="n">
        <v>0.053</v>
      </c>
      <c r="J89" t="inlineStr">
        <is>
          <t>High</t>
        </is>
      </c>
      <c r="L89" t="inlineStr">
        <is>
          <t>0x0x0</t>
        </is>
      </c>
    </row>
    <row r="90">
      <c r="A90" t="inlineStr">
        <is>
          <t>41A216641ABP153</t>
        </is>
      </c>
      <c r="B90" t="inlineStr">
        <is>
          <t>HELPER'S RADIO SPEAKER 
CONNECTOR</t>
        </is>
      </c>
      <c r="C90" t="inlineStr">
        <is>
          <t>Controls (MCA, train control, er etc)</t>
        </is>
      </c>
      <c r="D90" t="inlineStr">
        <is>
          <t>Wiring</t>
        </is>
      </c>
      <c r="E90" t="n">
        <v>1</v>
      </c>
      <c r="F90" t="inlineStr">
        <is>
          <t>Imported (USA)</t>
        </is>
      </c>
      <c r="G90" s="3" t="n">
        <v>45.7356</v>
      </c>
      <c r="H90" s="4" t="n"/>
    </row>
    <row r="91">
      <c r="A91" t="inlineStr">
        <is>
          <t>17LV66BD52</t>
        </is>
      </c>
      <c r="B91" t="inlineStr">
        <is>
          <t>CONSIST MANAGER SYSTEM RELAY</t>
        </is>
      </c>
      <c r="C91" t="inlineStr">
        <is>
          <t>Controls (MCA, train control, er etc)</t>
        </is>
      </c>
      <c r="D91" t="inlineStr">
        <is>
          <t>TRAIN CONTROL</t>
        </is>
      </c>
      <c r="E91" t="n">
        <v>1</v>
      </c>
      <c r="F91" t="inlineStr">
        <is>
          <t>PAC (Brazil, nationalized)</t>
        </is>
      </c>
      <c r="G91" s="3" t="n"/>
      <c r="H91" s="4" t="n">
        <v>376.7276750701055</v>
      </c>
      <c r="I91" s="5" t="n">
        <v>2.313</v>
      </c>
      <c r="J91" t="inlineStr">
        <is>
          <t>High</t>
        </is>
      </c>
      <c r="K91" t="inlineStr">
        <is>
          <t>85364900</t>
        </is>
      </c>
      <c r="L91" t="inlineStr">
        <is>
          <t>4.5x5.25x4.5</t>
        </is>
      </c>
    </row>
    <row r="92">
      <c r="A92" t="inlineStr">
        <is>
          <t>17LV66J10</t>
        </is>
      </c>
      <c r="B92" t="inlineStr">
        <is>
          <t>RELAYS</t>
        </is>
      </c>
      <c r="C92" t="inlineStr">
        <is>
          <t>Controls (MCA, train control, er etc)</t>
        </is>
      </c>
      <c r="D92" t="inlineStr">
        <is>
          <t>TRAIN CONTROL</t>
        </is>
      </c>
      <c r="E92" t="n">
        <v>1</v>
      </c>
      <c r="F92" t="inlineStr">
        <is>
          <t>PAC (Brazil, nationalized)</t>
        </is>
      </c>
      <c r="G92" s="3" t="n"/>
      <c r="H92" s="4" t="n">
        <v>358.9008553096465</v>
      </c>
      <c r="I92" s="5" t="n">
        <v>2.155</v>
      </c>
      <c r="J92" t="inlineStr">
        <is>
          <t>High</t>
        </is>
      </c>
      <c r="K92" t="inlineStr">
        <is>
          <t>85364900</t>
        </is>
      </c>
      <c r="L92" t="inlineStr">
        <is>
          <t>5.8x3.5x4.5</t>
        </is>
      </c>
    </row>
    <row r="93">
      <c r="A93" t="inlineStr">
        <is>
          <t>41A296326DDP78</t>
        </is>
      </c>
      <c r="B93" t="inlineStr">
        <is>
          <t>GEW LAYER 3 ETH ERNET SWITCH POWER PLUG</t>
        </is>
      </c>
      <c r="C93" t="inlineStr">
        <is>
          <t>Controls (MCA, train control, er etc)</t>
        </is>
      </c>
      <c r="D93" t="inlineStr">
        <is>
          <t>MCA</t>
        </is>
      </c>
      <c r="E93" t="n">
        <v>1</v>
      </c>
      <c r="F93" t="inlineStr">
        <is>
          <t>PAC (Brazil, nationalized)</t>
        </is>
      </c>
      <c r="G93" s="3" t="n"/>
      <c r="H93" s="4" t="n">
        <v>335.094659697125</v>
      </c>
      <c r="I93" s="5" t="n">
        <v>0.045</v>
      </c>
      <c r="J93" t="inlineStr">
        <is>
          <t>High</t>
        </is>
      </c>
      <c r="K93" t="inlineStr">
        <is>
          <t>85366990</t>
        </is>
      </c>
      <c r="L93" t="inlineStr">
        <is>
          <t>3x1x2</t>
        </is>
      </c>
    </row>
    <row r="94">
      <c r="A94" t="inlineStr">
        <is>
          <t>41A265714P22</t>
        </is>
      </c>
      <c r="B94" t="inlineStr">
        <is>
          <t>SOCKET CONTACT, .75"</t>
        </is>
      </c>
      <c r="C94" t="inlineStr">
        <is>
          <t>Controls (MCA, train control, er etc)</t>
        </is>
      </c>
      <c r="D94" t="inlineStr">
        <is>
          <t>Wiring</t>
        </is>
      </c>
      <c r="E94" t="n">
        <v>109</v>
      </c>
      <c r="F94" t="inlineStr">
        <is>
          <t>PAC (Brazil, nationalized)</t>
        </is>
      </c>
      <c r="G94" s="3" t="n"/>
      <c r="H94" s="4" t="n">
        <v>2.812453614444445</v>
      </c>
      <c r="I94" s="5" t="n">
        <v>0</v>
      </c>
      <c r="J94" t="inlineStr">
        <is>
          <t>High</t>
        </is>
      </c>
      <c r="K94" t="inlineStr">
        <is>
          <t>85369090</t>
        </is>
      </c>
      <c r="L94" t="inlineStr">
        <is>
          <t>0.75x0.1x0.1</t>
        </is>
      </c>
    </row>
    <row r="95">
      <c r="A95" t="inlineStr">
        <is>
          <t>41A216641ABP139</t>
        </is>
      </c>
      <c r="B95" t="inlineStr">
        <is>
          <t>DISTRIBUTED POWER RADIO MODULE
BASE CONNECTOR</t>
        </is>
      </c>
      <c r="C95" t="inlineStr">
        <is>
          <t>Controls (MCA, train control, er etc)</t>
        </is>
      </c>
      <c r="D95" t="inlineStr">
        <is>
          <t>Wiring</t>
        </is>
      </c>
      <c r="E95" t="n">
        <v>1</v>
      </c>
      <c r="F95" t="inlineStr">
        <is>
          <t>PAC (Brazil, nationalized)</t>
        </is>
      </c>
      <c r="G95" s="3" t="n"/>
      <c r="H95" s="4" t="n">
        <v>282.4057662957609</v>
      </c>
      <c r="I95" s="5" t="n">
        <v>0.066</v>
      </c>
      <c r="J95" t="inlineStr">
        <is>
          <t>High</t>
        </is>
      </c>
      <c r="K95" t="inlineStr">
        <is>
          <t>85366990</t>
        </is>
      </c>
      <c r="L95" t="inlineStr">
        <is>
          <t>2.5x1.25x1.25</t>
        </is>
      </c>
    </row>
    <row r="96">
      <c r="A96" t="inlineStr">
        <is>
          <t>84B104674ASP14</t>
        </is>
      </c>
      <c r="B96" t="inlineStr">
        <is>
          <t>AMBIENT AIR TEMPERATURE SENSOR
PLUG</t>
        </is>
      </c>
      <c r="C96" t="inlineStr">
        <is>
          <t>Controls (MCA, train control, er etc)</t>
        </is>
      </c>
      <c r="D96" t="inlineStr">
        <is>
          <t>MCA</t>
        </is>
      </c>
      <c r="E96" t="n">
        <v>1</v>
      </c>
      <c r="F96" t="inlineStr">
        <is>
          <t>PAC (Brazil, nationalized)</t>
        </is>
      </c>
      <c r="G96" s="3" t="n"/>
      <c r="H96" s="4" t="n">
        <v>262.7862444367175</v>
      </c>
      <c r="I96" s="5" t="n">
        <v>0.027</v>
      </c>
      <c r="J96" t="inlineStr">
        <is>
          <t>High</t>
        </is>
      </c>
      <c r="K96" t="inlineStr">
        <is>
          <t>85366990</t>
        </is>
      </c>
      <c r="L96" t="inlineStr">
        <is>
          <t>3.5x2x3.25</t>
        </is>
      </c>
    </row>
    <row r="97">
      <c r="A97" t="inlineStr">
        <is>
          <t>41A316591P1</t>
        </is>
      </c>
      <c r="B97" t="inlineStr">
        <is>
          <t>Card Holder 3 Slot</t>
        </is>
      </c>
      <c r="C97" t="inlineStr">
        <is>
          <t>Controls (MCA, train control, er etc)</t>
        </is>
      </c>
      <c r="D97" t="inlineStr">
        <is>
          <t>TRAIN CONTROL</t>
        </is>
      </c>
      <c r="E97" t="n">
        <v>1</v>
      </c>
      <c r="F97" t="inlineStr">
        <is>
          <t>PAC (Brazil, nationalized)</t>
        </is>
      </c>
      <c r="G97" s="3" t="n"/>
      <c r="H97" s="4" t="n">
        <v>198.4070498284668</v>
      </c>
      <c r="I97" s="5" t="n">
        <v>1.315</v>
      </c>
      <c r="J97" t="inlineStr">
        <is>
          <t>High</t>
        </is>
      </c>
      <c r="K97" t="inlineStr">
        <is>
          <t>39269090</t>
        </is>
      </c>
      <c r="L97" t="inlineStr">
        <is>
          <t>17x1.25x12.625</t>
        </is>
      </c>
    </row>
    <row r="98">
      <c r="A98" t="inlineStr">
        <is>
          <t>41A212414P31, 41A212414P3 2-Pole Option</t>
        </is>
      </c>
      <c r="B98" t="inlineStr">
        <is>
          <t>AUTOCOUPLER CIRCUIT BREAKER,  CCB(2A)</t>
        </is>
      </c>
      <c r="C98" t="inlineStr">
        <is>
          <t>Controls (MCA, train control, er etc)</t>
        </is>
      </c>
      <c r="D98" t="inlineStr">
        <is>
          <t>Circuit Breaker</t>
        </is>
      </c>
      <c r="E98" t="n">
        <v>1</v>
      </c>
      <c r="F98" t="inlineStr">
        <is>
          <t>Imported (USA)</t>
        </is>
      </c>
      <c r="G98" s="3" t="n">
        <v>22.0206</v>
      </c>
      <c r="H98" s="4" t="n"/>
      <c r="I98" s="5" t="n">
        <v>0.093</v>
      </c>
      <c r="J98" t="inlineStr">
        <is>
          <t>High</t>
        </is>
      </c>
      <c r="K98" t="inlineStr">
        <is>
          <t>85362000</t>
        </is>
      </c>
      <c r="L98" t="inlineStr">
        <is>
          <t>2.5x0.65x3.05</t>
        </is>
      </c>
    </row>
    <row r="99">
      <c r="A99" t="inlineStr">
        <is>
          <t>41A265713P22</t>
        </is>
      </c>
      <c r="B99" t="inlineStr">
        <is>
          <t>PIN</t>
        </is>
      </c>
      <c r="C99" t="inlineStr">
        <is>
          <t>Controls (MCA, train control, er etc)</t>
        </is>
      </c>
      <c r="D99" t="inlineStr">
        <is>
          <t>Wiring</t>
        </is>
      </c>
      <c r="E99" t="n">
        <v>82</v>
      </c>
      <c r="F99" t="inlineStr">
        <is>
          <t>PAC (Brazil, nationalized)</t>
        </is>
      </c>
      <c r="G99" s="3" t="n"/>
      <c r="H99" s="4" t="n">
        <v>2.091366466603</v>
      </c>
      <c r="I99" s="5" t="n">
        <v>0</v>
      </c>
      <c r="J99" t="inlineStr">
        <is>
          <t>High</t>
        </is>
      </c>
      <c r="K99" t="inlineStr">
        <is>
          <t>85389090</t>
        </is>
      </c>
      <c r="L99" t="inlineStr">
        <is>
          <t>1x0.001x0.001</t>
        </is>
      </c>
    </row>
    <row r="100">
      <c r="A100" t="inlineStr">
        <is>
          <t>41A212414P3</t>
        </is>
      </c>
      <c r="B100" t="inlineStr">
        <is>
          <t>DYNAMIC BRAKE CIRCUIT BREAKER
(1P, 2A)</t>
        </is>
      </c>
      <c r="C100" t="inlineStr">
        <is>
          <t>Controls (MCA, train control, er etc)</t>
        </is>
      </c>
      <c r="D100" t="inlineStr">
        <is>
          <t>Circuit Breaker</t>
        </is>
      </c>
      <c r="E100" t="n">
        <v>1</v>
      </c>
      <c r="F100" t="inlineStr">
        <is>
          <t>PAC (Brazil, nationalized)</t>
        </is>
      </c>
      <c r="G100" s="3" t="n"/>
      <c r="H100" s="4" t="n">
        <v>153.88089446</v>
      </c>
      <c r="I100" s="5" t="n">
        <v>0.193</v>
      </c>
      <c r="J100" t="inlineStr">
        <is>
          <t>High</t>
        </is>
      </c>
      <c r="K100" t="inlineStr">
        <is>
          <t>85362000</t>
        </is>
      </c>
      <c r="L100" t="inlineStr">
        <is>
          <t>3.1x1.45x2.5</t>
        </is>
      </c>
    </row>
    <row r="101">
      <c r="A101" t="inlineStr">
        <is>
          <t>41A212414P14</t>
        </is>
      </c>
      <c r="B101" t="inlineStr">
        <is>
          <t>PTC RADIO CIRCUIT BREAKER (2P,
15A)</t>
        </is>
      </c>
      <c r="C101" t="inlineStr">
        <is>
          <t>Controls (MCA, train control, er etc)</t>
        </is>
      </c>
      <c r="D101" t="inlineStr">
        <is>
          <t>Circuit Breaker</t>
        </is>
      </c>
      <c r="E101" t="n">
        <v>1</v>
      </c>
      <c r="F101" t="inlineStr">
        <is>
          <t>PAC (Brazil, nationalized)</t>
        </is>
      </c>
      <c r="G101" s="3" t="n"/>
      <c r="H101" s="4" t="n">
        <v>153.7357094511405</v>
      </c>
      <c r="I101" s="5" t="n">
        <v>0.195</v>
      </c>
      <c r="J101" t="inlineStr">
        <is>
          <t>High</t>
        </is>
      </c>
      <c r="K101" t="inlineStr">
        <is>
          <t>85362000</t>
        </is>
      </c>
      <c r="L101" t="inlineStr">
        <is>
          <t>2.5x1.5x3.25</t>
        </is>
      </c>
    </row>
    <row r="102">
      <c r="A102" t="inlineStr">
        <is>
          <t>41A212414P15</t>
        </is>
      </c>
      <c r="B102" t="inlineStr">
        <is>
          <t>SMART DISPLAY #1 CIRCUIT BREAKER (2P, 6A)</t>
        </is>
      </c>
      <c r="C102" t="inlineStr">
        <is>
          <t>Controls (MCA, train control, er etc)</t>
        </is>
      </c>
      <c r="D102" t="inlineStr">
        <is>
          <t>Circuit Breaker</t>
        </is>
      </c>
      <c r="E102" t="n">
        <v>1</v>
      </c>
      <c r="F102" t="inlineStr">
        <is>
          <t>PAC (Brazil, nationalized)</t>
        </is>
      </c>
      <c r="G102" s="3" t="n"/>
      <c r="H102" s="4" t="n">
        <v>152.3867404431294</v>
      </c>
      <c r="I102" s="5" t="n">
        <v>0.2</v>
      </c>
      <c r="J102" t="inlineStr">
        <is>
          <t>High</t>
        </is>
      </c>
      <c r="K102" t="inlineStr">
        <is>
          <t>85362000</t>
        </is>
      </c>
      <c r="L102" t="inlineStr">
        <is>
          <t>2.5x1.5x2.5</t>
        </is>
      </c>
    </row>
    <row r="103">
      <c r="A103" t="inlineStr">
        <is>
          <t>41A212414P5</t>
        </is>
      </c>
      <c r="B103" t="inlineStr">
        <is>
          <t>CABINET FANS BREAKER (2P, 5A) CBCB</t>
        </is>
      </c>
      <c r="C103" t="inlineStr">
        <is>
          <t>Controls (MCA, train control, er etc)</t>
        </is>
      </c>
      <c r="D103" t="inlineStr">
        <is>
          <t>Circuit Breaker</t>
        </is>
      </c>
      <c r="E103" t="n">
        <v>1</v>
      </c>
      <c r="F103" t="inlineStr">
        <is>
          <t>PAC (Brazil, nationalized)</t>
        </is>
      </c>
      <c r="G103" s="3" t="n"/>
      <c r="H103" s="4" t="n">
        <v>151.7252454611397</v>
      </c>
      <c r="I103" s="5" t="n">
        <v>0.191</v>
      </c>
      <c r="J103" t="inlineStr">
        <is>
          <t>High</t>
        </is>
      </c>
      <c r="K103" t="inlineStr">
        <is>
          <t>85362000</t>
        </is>
      </c>
      <c r="L103" t="inlineStr">
        <is>
          <t>2.5x1.5x3</t>
        </is>
      </c>
    </row>
    <row r="104">
      <c r="A104" t="inlineStr">
        <is>
          <t>41A212414P4</t>
        </is>
      </c>
      <c r="B104" t="inlineStr">
        <is>
          <t>DC/DC #1 TL13 Side (1P, 10A)</t>
        </is>
      </c>
      <c r="C104" t="inlineStr">
        <is>
          <t>Controls (MCA, train control, er etc)</t>
        </is>
      </c>
      <c r="D104" t="inlineStr">
        <is>
          <t>Circuit Breaker</t>
        </is>
      </c>
      <c r="E104" t="n">
        <v>1</v>
      </c>
      <c r="F104" t="inlineStr">
        <is>
          <t>PAC (Brazil, nationalized)</t>
        </is>
      </c>
      <c r="G104" s="3" t="n"/>
      <c r="H104" s="4" t="n">
        <v>149.4393378845015</v>
      </c>
      <c r="I104" s="5" t="n">
        <v>0.212</v>
      </c>
      <c r="J104" t="inlineStr">
        <is>
          <t>High</t>
        </is>
      </c>
      <c r="K104" t="inlineStr">
        <is>
          <t>85362000</t>
        </is>
      </c>
      <c r="L104" t="inlineStr">
        <is>
          <t>2.5x1.5x3.25</t>
        </is>
      </c>
    </row>
    <row r="105">
      <c r="A105" t="inlineStr">
        <is>
          <t>41A212414P2</t>
        </is>
      </c>
      <c r="B105" t="inlineStr">
        <is>
          <t>LIGHTING CIRCUIT BREAKER (2P, 30A)</t>
        </is>
      </c>
      <c r="C105" t="inlineStr">
        <is>
          <t>Controls (MCA, train control, er etc)</t>
        </is>
      </c>
      <c r="D105" t="inlineStr">
        <is>
          <t>Circuit Breaker</t>
        </is>
      </c>
      <c r="E105" t="n">
        <v>1</v>
      </c>
      <c r="F105" t="inlineStr">
        <is>
          <t>PAC (Brazil, nationalized)</t>
        </is>
      </c>
      <c r="G105" s="3" t="n"/>
      <c r="H105" s="4" t="n">
        <v>148.7452649547134</v>
      </c>
      <c r="I105" s="5" t="n">
        <v>0.188</v>
      </c>
      <c r="J105" t="inlineStr">
        <is>
          <t>High</t>
        </is>
      </c>
      <c r="K105" t="inlineStr">
        <is>
          <t>85362000</t>
        </is>
      </c>
      <c r="L105" t="inlineStr">
        <is>
          <t>3.1x1.45x2.5</t>
        </is>
      </c>
    </row>
    <row r="106">
      <c r="A106" t="inlineStr">
        <is>
          <t>41A212414P8</t>
        </is>
      </c>
      <c r="B106" t="inlineStr">
        <is>
          <t>MULTI-TASK CIRCUIT BREAKER (2P, 25A)</t>
        </is>
      </c>
      <c r="C106" t="inlineStr">
        <is>
          <t>Controls (MCA, train control, er etc)</t>
        </is>
      </c>
      <c r="D106" t="inlineStr">
        <is>
          <t>Circuit Breaker</t>
        </is>
      </c>
      <c r="E106" t="n">
        <v>1</v>
      </c>
      <c r="F106" t="inlineStr">
        <is>
          <t>PAC (Brazil, nationalized)</t>
        </is>
      </c>
      <c r="G106" s="3" t="n"/>
      <c r="H106" s="4" t="n">
        <v>143.4047041185088</v>
      </c>
      <c r="I106" s="5" t="n">
        <v>0.196</v>
      </c>
      <c r="J106" t="inlineStr">
        <is>
          <t>High</t>
        </is>
      </c>
      <c r="K106" t="inlineStr">
        <is>
          <t>85362000</t>
        </is>
      </c>
      <c r="L106" t="inlineStr">
        <is>
          <t>3x1.5x2.5</t>
        </is>
      </c>
    </row>
    <row r="107">
      <c r="A107" t="inlineStr">
        <is>
          <t>41A296326AUP1</t>
        </is>
      </c>
      <c r="B107" t="inlineStr">
        <is>
          <t>LOGIC POWER SUPPLY CONN (62 PIN)</t>
        </is>
      </c>
      <c r="C107" t="inlineStr">
        <is>
          <t>Controls (MCA, train control, er etc)</t>
        </is>
      </c>
      <c r="D107" t="inlineStr">
        <is>
          <t>Wiring</t>
        </is>
      </c>
      <c r="E107" t="n">
        <v>1</v>
      </c>
      <c r="F107" t="inlineStr">
        <is>
          <t>PAC (Brazil, nationalized)</t>
        </is>
      </c>
      <c r="G107" s="3" t="n"/>
      <c r="H107" s="4" t="n">
        <v>136.9356335604061</v>
      </c>
      <c r="I107" s="5" t="n">
        <v>0.145</v>
      </c>
      <c r="J107" t="inlineStr">
        <is>
          <t>High</t>
        </is>
      </c>
      <c r="K107" t="inlineStr">
        <is>
          <t>85369090</t>
        </is>
      </c>
      <c r="L107" t="inlineStr">
        <is>
          <t>6.375x6.375x1.5</t>
        </is>
      </c>
    </row>
    <row r="108">
      <c r="A108" t="inlineStr">
        <is>
          <t>41A268255P4</t>
        </is>
      </c>
      <c r="B108" t="inlineStr">
        <is>
          <t>DIAGNOSTIC ACCESS SWITCH</t>
        </is>
      </c>
      <c r="C108" t="inlineStr">
        <is>
          <t>Controls (MCA, train control, er etc)</t>
        </is>
      </c>
      <c r="D108" t="inlineStr">
        <is>
          <t>TRAIN CONTROL</t>
        </is>
      </c>
      <c r="E108" t="n">
        <v>1</v>
      </c>
      <c r="F108" t="inlineStr">
        <is>
          <t>PAC (Brazil, nationalized)</t>
        </is>
      </c>
      <c r="G108" s="3" t="n"/>
      <c r="H108" s="4" t="n">
        <v>126.443864959191</v>
      </c>
      <c r="I108" s="5" t="n">
        <v>0.054</v>
      </c>
      <c r="J108" t="inlineStr">
        <is>
          <t>High</t>
        </is>
      </c>
      <c r="K108" t="inlineStr">
        <is>
          <t>85365090</t>
        </is>
      </c>
      <c r="L108" t="inlineStr">
        <is>
          <t>3.05x2.2x4.7</t>
        </is>
      </c>
    </row>
    <row r="109">
      <c r="A109" t="inlineStr">
        <is>
          <t>41A250095G10</t>
        </is>
      </c>
      <c r="B109" t="inlineStr">
        <is>
          <t>TERMINAL BOARD (20 POINT)</t>
        </is>
      </c>
      <c r="C109" t="inlineStr">
        <is>
          <t>Controls (MCA, train control, er etc)</t>
        </is>
      </c>
      <c r="D109" t="inlineStr">
        <is>
          <t>TRAIN CONTROL</t>
        </is>
      </c>
      <c r="E109" t="n">
        <v>1</v>
      </c>
      <c r="F109" t="inlineStr">
        <is>
          <t>PAC (Brazil, nationalized)</t>
        </is>
      </c>
      <c r="G109" s="3" t="n"/>
      <c r="H109" s="4" t="n">
        <v>125.2602563270813</v>
      </c>
      <c r="I109" s="5" t="n">
        <v>0.281</v>
      </c>
      <c r="J109" t="inlineStr">
        <is>
          <t>High</t>
        </is>
      </c>
      <c r="K109" t="inlineStr">
        <is>
          <t>85369090</t>
        </is>
      </c>
      <c r="L109" t="inlineStr">
        <is>
          <t>12.75x3.375x2.75</t>
        </is>
      </c>
    </row>
    <row r="110">
      <c r="A110" t="inlineStr">
        <is>
          <t>41A251900G1</t>
        </is>
      </c>
      <c r="B110" t="inlineStr">
        <is>
          <t>RADIO LOCKER TERMINAL BOARD (12 POINT)</t>
        </is>
      </c>
      <c r="C110" t="inlineStr">
        <is>
          <t>Controls (MCA, train control, er etc)</t>
        </is>
      </c>
      <c r="D110" t="inlineStr">
        <is>
          <t>TRAIN CONTROL</t>
        </is>
      </c>
      <c r="E110" t="n">
        <v>1</v>
      </c>
      <c r="F110" t="inlineStr">
        <is>
          <t>PAC (Brazil, nationalized)</t>
        </is>
      </c>
      <c r="G110" s="3" t="n"/>
      <c r="H110" s="4" t="n">
        <v>116.1669559361585</v>
      </c>
      <c r="I110" s="5" t="n">
        <v>0.186</v>
      </c>
      <c r="J110" t="inlineStr">
        <is>
          <t>High</t>
        </is>
      </c>
      <c r="K110" t="inlineStr">
        <is>
          <t>85369090</t>
        </is>
      </c>
      <c r="L110" t="inlineStr">
        <is>
          <t>8.125x1.625x2</t>
        </is>
      </c>
    </row>
    <row r="111">
      <c r="A111" t="inlineStr">
        <is>
          <t>5373-219</t>
        </is>
      </c>
      <c r="B111" t="inlineStr">
        <is>
          <t>CONNECTOR, ELECTRICAL</t>
        </is>
      </c>
      <c r="C111" t="inlineStr">
        <is>
          <t>Controls (MCA, train control, er etc)</t>
        </is>
      </c>
      <c r="D111" t="inlineStr">
        <is>
          <t>Wiring</t>
        </is>
      </c>
      <c r="E111" t="n">
        <v>1</v>
      </c>
      <c r="F111" t="inlineStr">
        <is>
          <t>Imported (USA)</t>
        </is>
      </c>
      <c r="G111" s="3" t="n">
        <v>13.66</v>
      </c>
      <c r="H111" s="4" t="n"/>
    </row>
    <row r="112">
      <c r="A112" t="inlineStr">
        <is>
          <t>41A305772P1</t>
        </is>
      </c>
      <c r="B112" t="inlineStr">
        <is>
          <t>WORK LIGHT - SWITCH - #1 END (LIGHTING BREAKER)</t>
        </is>
      </c>
      <c r="C112" t="inlineStr">
        <is>
          <t>Power</t>
        </is>
      </c>
      <c r="D112" t="inlineStr">
        <is>
          <t>Circuit Breaker</t>
        </is>
      </c>
      <c r="E112" t="n">
        <v>1</v>
      </c>
      <c r="F112" t="inlineStr">
        <is>
          <t>PAC (Brazil, nationalized)</t>
        </is>
      </c>
      <c r="G112" s="3" t="n"/>
      <c r="H112" s="4" t="n">
        <v>108.111171329843</v>
      </c>
      <c r="I112" s="5" t="n">
        <v>0.023</v>
      </c>
      <c r="J112" t="inlineStr">
        <is>
          <t>High</t>
        </is>
      </c>
      <c r="K112" t="inlineStr">
        <is>
          <t>85365090</t>
        </is>
      </c>
      <c r="L112" t="inlineStr">
        <is>
          <t>1.7x0.95x1.75</t>
        </is>
      </c>
    </row>
    <row r="113">
      <c r="A113" t="inlineStr">
        <is>
          <t>497A911P1</t>
        </is>
      </c>
      <c r="B113" t="inlineStr">
        <is>
          <t>STEP LIGHT SWITCH</t>
        </is>
      </c>
      <c r="C113" t="inlineStr">
        <is>
          <t>Controls (MCA, train control, er etc)</t>
        </is>
      </c>
      <c r="D113" t="inlineStr">
        <is>
          <t>TRAIN CONTROL</t>
        </is>
      </c>
      <c r="E113" t="n">
        <v>1</v>
      </c>
      <c r="F113" t="inlineStr">
        <is>
          <t>PAC (Brazil, nationalized)</t>
        </is>
      </c>
      <c r="G113" s="3" t="n"/>
      <c r="H113" s="4" t="n">
        <v>99.2119168891948</v>
      </c>
      <c r="I113" s="5" t="n">
        <v>0.051</v>
      </c>
      <c r="J113" t="inlineStr">
        <is>
          <t>High</t>
        </is>
      </c>
      <c r="K113" t="inlineStr">
        <is>
          <t>85365090</t>
        </is>
      </c>
      <c r="L113" t="inlineStr">
        <is>
          <t>2x1x2</t>
        </is>
      </c>
    </row>
    <row r="114">
      <c r="A114" t="inlineStr">
        <is>
          <t>499A906AAP12</t>
        </is>
      </c>
      <c r="B114" t="inlineStr">
        <is>
          <t>NUT, HEX, NYLOCK, 8-32, GR5, Z</t>
        </is>
      </c>
      <c r="C114" t="inlineStr">
        <is>
          <t>SKID Assembly</t>
        </is>
      </c>
      <c r="D114" t="inlineStr">
        <is>
          <t>SKID (Skid)</t>
        </is>
      </c>
      <c r="E114" t="n">
        <v>14</v>
      </c>
      <c r="F114" t="inlineStr">
        <is>
          <t>PAC (Brazil, nationalized)</t>
        </is>
      </c>
      <c r="G114" s="3" t="n"/>
      <c r="H114" s="4" t="n">
        <v>5.807163164250667</v>
      </c>
      <c r="I114" s="5" t="n">
        <v>0.002</v>
      </c>
      <c r="J114" t="inlineStr">
        <is>
          <t>High</t>
        </is>
      </c>
      <c r="K114" t="inlineStr">
        <is>
          <t>73181600</t>
        </is>
      </c>
      <c r="L114" t="inlineStr">
        <is>
          <t>0.125x0.125x0.25</t>
        </is>
      </c>
    </row>
    <row r="115">
      <c r="A115" t="inlineStr">
        <is>
          <t>84B519079G1</t>
        </is>
      </c>
      <c r="B115" t="inlineStr">
        <is>
          <t>MAIN RESERVOIR PRESSURE SENSOR
CONNECTOR</t>
        </is>
      </c>
      <c r="C115" t="inlineStr">
        <is>
          <t>Controls (MCA, train control, er etc)</t>
        </is>
      </c>
      <c r="D115" t="inlineStr">
        <is>
          <t>MCA</t>
        </is>
      </c>
      <c r="E115" t="n">
        <v>1</v>
      </c>
      <c r="F115" t="inlineStr">
        <is>
          <t>PAC (Brazil, nationalized)</t>
        </is>
      </c>
      <c r="G115" s="3" t="n"/>
      <c r="H115" s="4" t="n">
        <v>73.63900235560642</v>
      </c>
      <c r="I115" s="5" t="n">
        <v>0.136</v>
      </c>
      <c r="J115" t="inlineStr">
        <is>
          <t>High</t>
        </is>
      </c>
      <c r="K115" t="inlineStr">
        <is>
          <t>85369090</t>
        </is>
      </c>
      <c r="L115" t="inlineStr">
        <is>
          <t>4.5x1.48x1.48</t>
        </is>
      </c>
    </row>
    <row r="116">
      <c r="A116" t="inlineStr">
        <is>
          <t>41A212414P39</t>
        </is>
      </c>
      <c r="B116" t="inlineStr">
        <is>
          <t>CONTROL SWITCH CIRCUIT BREAKER (1P, 30A)</t>
        </is>
      </c>
      <c r="C116" t="inlineStr">
        <is>
          <t>Controls (MCA, train control, er etc)</t>
        </is>
      </c>
      <c r="D116" t="inlineStr">
        <is>
          <t>Circuit Breaker</t>
        </is>
      </c>
      <c r="E116" t="n">
        <v>1</v>
      </c>
      <c r="F116" t="inlineStr">
        <is>
          <t>PAC (Brazil, nationalized)</t>
        </is>
      </c>
      <c r="G116" s="3" t="n"/>
      <c r="H116" s="4" t="n">
        <v>71.52577810125315</v>
      </c>
      <c r="I116" s="5" t="n">
        <v>0.113</v>
      </c>
      <c r="J116" t="inlineStr">
        <is>
          <t>High</t>
        </is>
      </c>
      <c r="K116" t="inlineStr">
        <is>
          <t>85362000</t>
        </is>
      </c>
      <c r="L116" t="inlineStr">
        <is>
          <t>3.05x0.7x2.45</t>
        </is>
      </c>
    </row>
    <row r="117">
      <c r="A117" t="inlineStr">
        <is>
          <t>41A296328AAP5</t>
        </is>
      </c>
      <c r="B117" t="inlineStr">
        <is>
          <t>SENSOR, THERMISTOR TEMPERATURE PROBE</t>
        </is>
      </c>
      <c r="C117" t="inlineStr">
        <is>
          <t>Controls (MCA, train control, er etc)</t>
        </is>
      </c>
      <c r="D117" t="inlineStr">
        <is>
          <t>MCA</t>
        </is>
      </c>
      <c r="E117" t="n">
        <v>1</v>
      </c>
      <c r="F117" t="inlineStr">
        <is>
          <t>PAC (Brazil, nationalized)</t>
        </is>
      </c>
      <c r="G117" s="3" t="n"/>
      <c r="H117" s="4" t="n">
        <v>69.474640858737</v>
      </c>
      <c r="I117" s="5" t="n">
        <v>0.023</v>
      </c>
      <c r="J117" t="inlineStr">
        <is>
          <t>High</t>
        </is>
      </c>
      <c r="K117" t="inlineStr">
        <is>
          <t>90251990</t>
        </is>
      </c>
      <c r="L117" t="inlineStr">
        <is>
          <t>2.5x1x1</t>
        </is>
      </c>
    </row>
    <row r="118">
      <c r="A118" t="inlineStr">
        <is>
          <t>41A216641AMP109</t>
        </is>
      </c>
      <c r="B118" t="inlineStr">
        <is>
          <t>Contact</t>
        </is>
      </c>
      <c r="C118" t="inlineStr">
        <is>
          <t>Controls (MCA, train control, er etc)</t>
        </is>
      </c>
      <c r="D118" t="inlineStr">
        <is>
          <t>Wiring</t>
        </is>
      </c>
      <c r="E118" t="n">
        <v>12</v>
      </c>
      <c r="F118" t="inlineStr">
        <is>
          <t>PAC (Brazil, nationalized)</t>
        </is>
      </c>
      <c r="G118" s="3" t="n"/>
      <c r="H118" s="4" t="n">
        <v>5.4707118625</v>
      </c>
      <c r="I118" s="5" t="n">
        <v>0</v>
      </c>
      <c r="J118" t="inlineStr">
        <is>
          <t>High</t>
        </is>
      </c>
      <c r="K118" t="inlineStr">
        <is>
          <t>85364900</t>
        </is>
      </c>
      <c r="L118" t="inlineStr">
        <is>
          <t>1x0.001x0.001</t>
        </is>
      </c>
    </row>
    <row r="119">
      <c r="A119" t="inlineStr">
        <is>
          <t>41A265616P52</t>
        </is>
      </c>
      <c r="B119" t="inlineStr">
        <is>
          <t>Ring Terminal</t>
        </is>
      </c>
      <c r="C119" t="inlineStr">
        <is>
          <t>Controls (MCA, train control, er etc)</t>
        </is>
      </c>
      <c r="D119" t="inlineStr">
        <is>
          <t>Wiring</t>
        </is>
      </c>
      <c r="E119" t="n">
        <v>4</v>
      </c>
      <c r="F119" t="inlineStr">
        <is>
          <t>PAC (Brazil, nationalized)</t>
        </is>
      </c>
      <c r="G119" s="3" t="n"/>
      <c r="H119" s="4" t="n">
        <v>15.50629491024533</v>
      </c>
      <c r="I119" s="5" t="n">
        <v>0.039</v>
      </c>
      <c r="J119" t="inlineStr">
        <is>
          <t>High</t>
        </is>
      </c>
      <c r="K119" t="inlineStr">
        <is>
          <t>85369090</t>
        </is>
      </c>
      <c r="L119" t="inlineStr">
        <is>
          <t>3.75x4.15x7.5</t>
        </is>
      </c>
    </row>
    <row r="120">
      <c r="A120" t="inlineStr">
        <is>
          <t>41A271471P61</t>
        </is>
      </c>
      <c r="B120" t="inlineStr">
        <is>
          <t>TRAINLINE RESISTOR PANEL CONN</t>
        </is>
      </c>
      <c r="C120" t="inlineStr">
        <is>
          <t>Controls (MCA, train control, er etc)</t>
        </is>
      </c>
      <c r="D120" t="inlineStr">
        <is>
          <t>Wiring</t>
        </is>
      </c>
      <c r="E120" t="n">
        <v>1</v>
      </c>
      <c r="F120" t="inlineStr">
        <is>
          <t>PAC (Brazil, nationalized)</t>
        </is>
      </c>
      <c r="G120" s="3" t="n"/>
      <c r="H120" s="4" t="n">
        <v>58.45426968419057</v>
      </c>
      <c r="I120" s="5" t="n">
        <v>0.029</v>
      </c>
      <c r="J120" t="inlineStr">
        <is>
          <t>High</t>
        </is>
      </c>
      <c r="K120" t="inlineStr">
        <is>
          <t>85366990</t>
        </is>
      </c>
      <c r="L120" t="inlineStr">
        <is>
          <t>1.75x0.375x1.75</t>
        </is>
      </c>
    </row>
    <row r="121">
      <c r="A121" t="inlineStr">
        <is>
          <t>41A271474P17</t>
        </is>
      </c>
      <c r="B121" t="inlineStr">
        <is>
          <t>AUX SHEET CONNECTOR</t>
        </is>
      </c>
      <c r="C121" t="inlineStr">
        <is>
          <t>Controls (MCA, train control, er etc)</t>
        </is>
      </c>
      <c r="D121" t="inlineStr">
        <is>
          <t>Wiring</t>
        </is>
      </c>
      <c r="E121" t="n">
        <v>1</v>
      </c>
      <c r="F121" t="inlineStr">
        <is>
          <t>PAC (Brazil, nationalized)</t>
        </is>
      </c>
      <c r="G121" s="3" t="n"/>
      <c r="H121" s="4" t="n">
        <v>42.103764342222</v>
      </c>
      <c r="I121" s="5" t="n">
        <v>0.045</v>
      </c>
      <c r="J121" t="inlineStr">
        <is>
          <t>High</t>
        </is>
      </c>
      <c r="K121" t="inlineStr">
        <is>
          <t>85359090</t>
        </is>
      </c>
      <c r="L121" t="inlineStr">
        <is>
          <t>1.55x1x1</t>
        </is>
      </c>
    </row>
    <row r="122">
      <c r="A122" t="inlineStr">
        <is>
          <t>84B514977G1</t>
        </is>
      </c>
      <c r="B122" t="inlineStr">
        <is>
          <t>CONNECTION ASM</t>
        </is>
      </c>
      <c r="C122" t="inlineStr">
        <is>
          <t>Controls (MCA, train control, er etc)</t>
        </is>
      </c>
      <c r="D122" t="inlineStr">
        <is>
          <t>MCA</t>
        </is>
      </c>
      <c r="E122" t="n">
        <v>1</v>
      </c>
      <c r="F122" t="inlineStr">
        <is>
          <t>PAC (Brazil, nationalized)</t>
        </is>
      </c>
      <c r="G122" s="3" t="n"/>
      <c r="H122" s="4" t="n">
        <v>41.81244988731875</v>
      </c>
      <c r="I122" s="5" t="n">
        <v>0.023</v>
      </c>
      <c r="J122" t="inlineStr">
        <is>
          <t>High</t>
        </is>
      </c>
      <c r="K122" t="inlineStr">
        <is>
          <t>85319000</t>
        </is>
      </c>
      <c r="L122" t="inlineStr">
        <is>
          <t>1.25x0.75x0.75</t>
        </is>
      </c>
    </row>
    <row r="123">
      <c r="A123" t="inlineStr">
        <is>
          <t>41A271474P13</t>
        </is>
      </c>
      <c r="B123" t="inlineStr">
        <is>
          <t>AUX SHEET CONNECTOR - PIN</t>
        </is>
      </c>
      <c r="C123" t="inlineStr">
        <is>
          <t>Controls (MCA, train control, er etc)</t>
        </is>
      </c>
      <c r="D123" t="inlineStr">
        <is>
          <t>Wiring</t>
        </is>
      </c>
      <c r="E123" t="n">
        <v>1</v>
      </c>
      <c r="F123" t="inlineStr">
        <is>
          <t>PAC (Brazil, nationalized)</t>
        </is>
      </c>
      <c r="G123" s="3" t="n"/>
      <c r="H123" s="4" t="n">
        <v>35.50344794</v>
      </c>
      <c r="I123" s="5" t="n">
        <v>0.041</v>
      </c>
      <c r="J123" t="inlineStr">
        <is>
          <t>High</t>
        </is>
      </c>
      <c r="K123" t="inlineStr">
        <is>
          <t>85369090</t>
        </is>
      </c>
      <c r="L123" t="inlineStr">
        <is>
          <t>2x1x1</t>
        </is>
      </c>
    </row>
    <row r="124">
      <c r="A124" t="inlineStr">
        <is>
          <t>41A271471P24</t>
        </is>
      </c>
      <c r="B124" t="inlineStr">
        <is>
          <t>AMP, Cable Clamp Kit, Thermoplastic, Black, 17 Shell Size,</t>
        </is>
      </c>
      <c r="C124" t="inlineStr">
        <is>
          <t>SKID Assembly</t>
        </is>
      </c>
      <c r="D124" t="inlineStr">
        <is>
          <t>Controls (MCA, train control, er etc)</t>
        </is>
      </c>
      <c r="E124" t="n">
        <v>2</v>
      </c>
      <c r="F124" t="inlineStr">
        <is>
          <t>PAC (Brazil, nationalized)</t>
        </is>
      </c>
      <c r="G124" s="3" t="n"/>
      <c r="H124" s="4" t="n">
        <v>15.87167340642857</v>
      </c>
      <c r="I124" s="5" t="n">
        <v>0.023</v>
      </c>
      <c r="J124" t="inlineStr">
        <is>
          <t>High</t>
        </is>
      </c>
      <c r="K124" t="inlineStr">
        <is>
          <t>85366990</t>
        </is>
      </c>
      <c r="L124" t="inlineStr">
        <is>
          <t>5.1x1.15x2.95</t>
        </is>
      </c>
    </row>
    <row r="125">
      <c r="A125" t="inlineStr">
        <is>
          <t>41A296326BUP3</t>
        </is>
      </c>
      <c r="B125" t="inlineStr">
        <is>
          <t>Contact for 14-18 AWG wire (41A296326AUP1),
insulation OD .110-.150, with
secondary locking type
connector plug</t>
        </is>
      </c>
      <c r="C125" t="inlineStr">
        <is>
          <t>Controls (MCA, train control, er etc)</t>
        </is>
      </c>
      <c r="D125" t="inlineStr">
        <is>
          <t>Wiring</t>
        </is>
      </c>
      <c r="E125" t="n">
        <v>9</v>
      </c>
      <c r="F125" t="inlineStr">
        <is>
          <t>PAC (Brazil, nationalized)</t>
        </is>
      </c>
      <c r="G125" s="3" t="n"/>
      <c r="H125" s="4" t="n">
        <v>2.6747814998497</v>
      </c>
      <c r="I125" s="5" t="n">
        <v>0</v>
      </c>
      <c r="J125" t="inlineStr">
        <is>
          <t>High</t>
        </is>
      </c>
      <c r="K125" t="inlineStr">
        <is>
          <t>85389090</t>
        </is>
      </c>
      <c r="L125" t="inlineStr">
        <is>
          <t>1x0.1x0.1</t>
        </is>
      </c>
    </row>
    <row r="126">
      <c r="A126" t="inlineStr">
        <is>
          <t>N80P15016B13</t>
        </is>
      </c>
      <c r="B126" t="inlineStr">
        <is>
          <t>SCREW, PHP, 8-32 X 1, GR5, Z</t>
        </is>
      </c>
      <c r="C126" t="inlineStr">
        <is>
          <t>SKID Assembly</t>
        </is>
      </c>
      <c r="D126" t="inlineStr">
        <is>
          <t>SKID (Skid)</t>
        </is>
      </c>
      <c r="E126" t="n">
        <v>16</v>
      </c>
      <c r="F126" t="inlineStr">
        <is>
          <t>PAC (Brazil, nationalized)</t>
        </is>
      </c>
      <c r="G126" s="3" t="n"/>
      <c r="H126" s="4" t="n">
        <v>1.259049427493</v>
      </c>
      <c r="I126" s="5" t="n">
        <v>0.005</v>
      </c>
      <c r="J126" t="inlineStr">
        <is>
          <t>High</t>
        </is>
      </c>
      <c r="K126" t="inlineStr">
        <is>
          <t>73181500</t>
        </is>
      </c>
      <c r="L126" t="inlineStr">
        <is>
          <t>1.125x0.25x0.25</t>
        </is>
      </c>
    </row>
    <row r="127">
      <c r="A127" t="inlineStr">
        <is>
          <t>41A271471P24/38</t>
        </is>
      </c>
      <c r="B127" t="inlineStr">
        <is>
          <t>HPEAP DISCRETE CONNECTOR Backshell</t>
        </is>
      </c>
      <c r="C127" t="inlineStr">
        <is>
          <t>Controls (MCA, train control, er etc)</t>
        </is>
      </c>
      <c r="D127" t="inlineStr">
        <is>
          <t>Wiring</t>
        </is>
      </c>
      <c r="E127" t="n">
        <v>1</v>
      </c>
      <c r="F127" t="inlineStr">
        <is>
          <t>Imported (USA)</t>
        </is>
      </c>
      <c r="G127" s="3" t="n">
        <v>1.9294</v>
      </c>
      <c r="H127" s="4" t="n"/>
      <c r="I127" s="5" t="n">
        <v>0.023</v>
      </c>
      <c r="J127" t="inlineStr">
        <is>
          <t>High</t>
        </is>
      </c>
      <c r="K127" t="inlineStr">
        <is>
          <t>85366990</t>
        </is>
      </c>
      <c r="L127" t="inlineStr">
        <is>
          <t>5.1x1.15x2.95</t>
        </is>
      </c>
    </row>
    <row r="128">
      <c r="A128" t="inlineStr">
        <is>
          <t>41A271471P35</t>
        </is>
      </c>
      <c r="B128" t="inlineStr">
        <is>
          <t>CONNECTOR (24 SOCKET)</t>
        </is>
      </c>
      <c r="C128" t="inlineStr">
        <is>
          <t>Controls (MCA, train control, er etc)</t>
        </is>
      </c>
      <c r="D128" t="inlineStr">
        <is>
          <t>Wiring</t>
        </is>
      </c>
      <c r="E128" t="n">
        <v>1</v>
      </c>
      <c r="F128" t="inlineStr">
        <is>
          <t>PAC (Brazil, nationalized)</t>
        </is>
      </c>
      <c r="G128" s="3" t="n"/>
      <c r="H128" s="4" t="n">
        <v>14.20340068983467</v>
      </c>
      <c r="I128" s="5" t="n">
        <v>0.027</v>
      </c>
      <c r="J128" t="inlineStr">
        <is>
          <t>High</t>
        </is>
      </c>
      <c r="K128" t="inlineStr">
        <is>
          <t>85366990</t>
        </is>
      </c>
      <c r="L128" t="inlineStr">
        <is>
          <t>1.65x1.05x1.65</t>
        </is>
      </c>
    </row>
    <row r="129">
      <c r="A129" t="inlineStr">
        <is>
          <t>41A271471P16</t>
        </is>
      </c>
      <c r="B129" t="inlineStr">
        <is>
          <t>SPEED SENSORS (1-3)/(4-6) CONNECTOR
(37 SOCKET)</t>
        </is>
      </c>
      <c r="C129" t="inlineStr">
        <is>
          <t>Controls (MCA, train control, er etc)</t>
        </is>
      </c>
      <c r="D129" t="inlineStr">
        <is>
          <t>Wiring</t>
        </is>
      </c>
      <c r="E129" t="n">
        <v>1</v>
      </c>
      <c r="F129" t="inlineStr">
        <is>
          <t>PAC (Brazil, nationalized)</t>
        </is>
      </c>
      <c r="G129" s="3" t="n"/>
      <c r="H129" s="4" t="n">
        <v>13.12510371189</v>
      </c>
      <c r="I129" s="5" t="n">
        <v>0.025</v>
      </c>
      <c r="J129" t="inlineStr">
        <is>
          <t>High</t>
        </is>
      </c>
      <c r="K129" t="inlineStr">
        <is>
          <t>85366990</t>
        </is>
      </c>
      <c r="L129" t="inlineStr">
        <is>
          <t>1.6x1.05x1.7</t>
        </is>
      </c>
    </row>
    <row r="130">
      <c r="A130" t="inlineStr">
        <is>
          <t>41A271471P22</t>
        </is>
      </c>
      <c r="B130" t="inlineStr">
        <is>
          <t>GROUND MEASURING MODULE
CONNECTOR</t>
        </is>
      </c>
      <c r="C130" t="inlineStr">
        <is>
          <t>Controls (MCA, train control, er etc)</t>
        </is>
      </c>
      <c r="D130" t="inlineStr">
        <is>
          <t>TRAIN CONTROL</t>
        </is>
      </c>
      <c r="E130" t="n">
        <v>1</v>
      </c>
      <c r="F130" t="inlineStr">
        <is>
          <t>PAC (Brazil, nationalized)</t>
        </is>
      </c>
      <c r="G130" s="3" t="n"/>
      <c r="H130" s="4" t="n">
        <v>12.61859220518725</v>
      </c>
      <c r="I130" s="5" t="n">
        <v>0.014</v>
      </c>
      <c r="J130" t="inlineStr">
        <is>
          <t>High</t>
        </is>
      </c>
      <c r="K130" t="inlineStr">
        <is>
          <t>85366990</t>
        </is>
      </c>
      <c r="L130" t="inlineStr">
        <is>
          <t>1.25x1.05x1.3</t>
        </is>
      </c>
    </row>
    <row r="131">
      <c r="A131" t="inlineStr">
        <is>
          <t>41A271471P40</t>
        </is>
      </c>
      <c r="B131" t="inlineStr">
        <is>
          <t>TRAINLINE RESISTOR PANEL CONN BACKSHELL</t>
        </is>
      </c>
      <c r="C131" t="inlineStr">
        <is>
          <t>Controls (MCA, train control, er etc)</t>
        </is>
      </c>
      <c r="D131" t="inlineStr">
        <is>
          <t>Wiring</t>
        </is>
      </c>
      <c r="E131" t="n">
        <v>1</v>
      </c>
      <c r="F131" t="inlineStr">
        <is>
          <t>PAC (Brazil, nationalized)</t>
        </is>
      </c>
      <c r="G131" s="3" t="n"/>
      <c r="H131" s="4" t="n">
        <v>12.51965952557345</v>
      </c>
      <c r="I131" s="5" t="n">
        <v>0.041</v>
      </c>
      <c r="J131" t="inlineStr">
        <is>
          <t>High</t>
        </is>
      </c>
      <c r="K131" t="inlineStr">
        <is>
          <t>85369090</t>
        </is>
      </c>
      <c r="L131" t="inlineStr">
        <is>
          <t>7.1x2.9x6.45</t>
        </is>
      </c>
    </row>
    <row r="132">
      <c r="A132" t="inlineStr">
        <is>
          <t>41A281695P1</t>
        </is>
      </c>
      <c r="B132" t="inlineStr">
        <is>
          <t>RESISTOR</t>
        </is>
      </c>
      <c r="C132" t="inlineStr">
        <is>
          <t>Controls (MCA, train control, er etc)</t>
        </is>
      </c>
      <c r="D132" t="inlineStr">
        <is>
          <t>TRAIN CONTROL</t>
        </is>
      </c>
      <c r="E132" t="n">
        <v>1</v>
      </c>
      <c r="F132" t="inlineStr">
        <is>
          <t>PAC (Brazil, nationalized)</t>
        </is>
      </c>
      <c r="G132" s="3" t="n"/>
      <c r="H132" s="4" t="n">
        <v>9.854416569066499</v>
      </c>
      <c r="I132" s="5" t="n">
        <v>0.043</v>
      </c>
      <c r="J132" t="inlineStr">
        <is>
          <t>High</t>
        </is>
      </c>
      <c r="K132" t="inlineStr">
        <is>
          <t>85332900</t>
        </is>
      </c>
      <c r="L132" t="inlineStr">
        <is>
          <t>4x0.5x1</t>
        </is>
      </c>
    </row>
    <row r="133">
      <c r="A133" t="inlineStr">
        <is>
          <t>N402P8B13</t>
        </is>
      </c>
      <c r="B133" t="inlineStr">
        <is>
          <t>WASHER, FLAT, #8, GR5, Z</t>
        </is>
      </c>
      <c r="C133" t="inlineStr">
        <is>
          <t>SKID Assembly</t>
        </is>
      </c>
      <c r="D133" t="inlineStr">
        <is>
          <t>SKID (Skid)</t>
        </is>
      </c>
      <c r="E133" t="n">
        <v>16</v>
      </c>
      <c r="F133" t="inlineStr">
        <is>
          <t>PAC (Brazil, nationalized)</t>
        </is>
      </c>
      <c r="G133" s="3" t="n"/>
      <c r="H133" s="4" t="n">
        <v>0.5005605610501428</v>
      </c>
      <c r="I133" s="5" t="n">
        <v>0</v>
      </c>
      <c r="J133" t="inlineStr">
        <is>
          <t>High</t>
        </is>
      </c>
      <c r="K133" t="inlineStr">
        <is>
          <t>73182200</t>
        </is>
      </c>
      <c r="L133" t="inlineStr">
        <is>
          <t>0.25x0.005x0.25</t>
        </is>
      </c>
    </row>
    <row r="134">
      <c r="A134" t="inlineStr">
        <is>
          <t>41A265714P12</t>
        </is>
      </c>
      <c r="B134" t="inlineStr">
        <is>
          <t>Contact, .4in</t>
        </is>
      </c>
      <c r="C134" t="inlineStr">
        <is>
          <t>Controls (MCA, train control, er etc)</t>
        </is>
      </c>
      <c r="D134" t="inlineStr">
        <is>
          <t>Wiring</t>
        </is>
      </c>
      <c r="E134" t="n">
        <v>4</v>
      </c>
      <c r="F134" t="inlineStr">
        <is>
          <t>PAC (Brazil, nationalized)</t>
        </is>
      </c>
      <c r="G134" s="3" t="n"/>
      <c r="H134" s="4" t="n">
        <v>1.836323915118778</v>
      </c>
      <c r="I134" s="5" t="n">
        <v>0</v>
      </c>
      <c r="J134" t="inlineStr">
        <is>
          <t>High</t>
        </is>
      </c>
      <c r="K134" t="inlineStr">
        <is>
          <t>85389090</t>
        </is>
      </c>
      <c r="L134" t="inlineStr">
        <is>
          <t>0.4x0.3x1</t>
        </is>
      </c>
    </row>
    <row r="135">
      <c r="A135" t="inlineStr">
        <is>
          <t>482A444ASP48</t>
        </is>
      </c>
      <c r="B135" t="inlineStr">
        <is>
          <t>PTC PULL UP RESISTOR</t>
        </is>
      </c>
      <c r="C135" t="inlineStr">
        <is>
          <t>PTC</t>
        </is>
      </c>
      <c r="D135" t="inlineStr">
        <is>
          <t>PTC</t>
        </is>
      </c>
      <c r="E135" t="n">
        <v>1</v>
      </c>
      <c r="F135" t="inlineStr">
        <is>
          <t>PAC (Brazil, nationalized)</t>
        </is>
      </c>
      <c r="G135" s="3" t="n"/>
      <c r="H135" s="4" t="n">
        <v>5.41762752</v>
      </c>
      <c r="I135" s="5" t="n">
        <v>0.02</v>
      </c>
      <c r="J135" t="inlineStr">
        <is>
          <t>High</t>
        </is>
      </c>
      <c r="K135" t="inlineStr">
        <is>
          <t>85332900</t>
        </is>
      </c>
      <c r="L135" t="inlineStr">
        <is>
          <t>1.95x0.55x1</t>
        </is>
      </c>
    </row>
    <row r="136">
      <c r="A136" t="inlineStr">
        <is>
          <t>41A296326AKP5</t>
        </is>
      </c>
      <c r="B136" t="inlineStr">
        <is>
          <t>Power Plug for the TCD</t>
        </is>
      </c>
      <c r="C136" t="inlineStr">
        <is>
          <t>Controls (MCA, train control, er etc)</t>
        </is>
      </c>
      <c r="D136" t="inlineStr">
        <is>
          <t>Wiring</t>
        </is>
      </c>
      <c r="E136" t="n">
        <v>1</v>
      </c>
      <c r="F136" t="inlineStr">
        <is>
          <t>PAC (Brazil, nationalized)</t>
        </is>
      </c>
      <c r="G136" s="3" t="n"/>
      <c r="H136" s="4" t="n">
        <v>5.183658981166286</v>
      </c>
      <c r="I136" s="5" t="n">
        <v>0.002</v>
      </c>
      <c r="J136" t="inlineStr">
        <is>
          <t>High</t>
        </is>
      </c>
      <c r="K136" t="inlineStr">
        <is>
          <t>85389090</t>
        </is>
      </c>
      <c r="L136" t="inlineStr">
        <is>
          <t>0.85x0.3x1</t>
        </is>
      </c>
    </row>
    <row r="137">
      <c r="A137" t="inlineStr">
        <is>
          <t>41A296326AMP52</t>
        </is>
      </c>
      <c r="B137" t="inlineStr">
        <is>
          <t>Crimp Type Contact Pin</t>
        </is>
      </c>
      <c r="C137" t="inlineStr">
        <is>
          <t>Controls (MCA, train control, er etc)</t>
        </is>
      </c>
      <c r="D137" t="inlineStr">
        <is>
          <t>Wiring</t>
        </is>
      </c>
      <c r="E137" t="n">
        <v>5</v>
      </c>
      <c r="F137" t="inlineStr">
        <is>
          <t>PAC (Brazil, nationalized)</t>
        </is>
      </c>
      <c r="G137" s="3" t="n"/>
      <c r="H137" s="4" t="n">
        <v>0.275201176072</v>
      </c>
      <c r="I137" s="5" t="n">
        <v>0</v>
      </c>
      <c r="J137" t="inlineStr">
        <is>
          <t>High</t>
        </is>
      </c>
      <c r="K137" t="inlineStr">
        <is>
          <t>85369090</t>
        </is>
      </c>
      <c r="L137" t="inlineStr">
        <is>
          <t>0.05x0.05x0.1</t>
        </is>
      </c>
    </row>
    <row r="138">
      <c r="A138" t="inlineStr">
        <is>
          <t>499A906AAP2</t>
        </is>
      </c>
      <c r="B138" t="inlineStr">
        <is>
          <t>NUT, HEX, NYLOCK, 1/4-20, GR5, Z</t>
        </is>
      </c>
      <c r="C138" t="inlineStr">
        <is>
          <t>SKID Assembly</t>
        </is>
      </c>
      <c r="D138" t="inlineStr">
        <is>
          <t>SKID (Skid)</t>
        </is>
      </c>
      <c r="E138" t="n">
        <v>1</v>
      </c>
      <c r="F138" t="inlineStr">
        <is>
          <t>PAC (Brazil, nationalized)</t>
        </is>
      </c>
      <c r="G138" s="3" t="n"/>
      <c r="H138" s="4" t="n">
        <v>0.374666311425375</v>
      </c>
      <c r="I138" s="5" t="n">
        <v>0.002</v>
      </c>
      <c r="J138" t="inlineStr">
        <is>
          <t>High</t>
        </is>
      </c>
      <c r="K138" t="inlineStr">
        <is>
          <t>73181600</t>
        </is>
      </c>
      <c r="L138" t="inlineStr">
        <is>
          <t>0.05x0.05x0.05</t>
        </is>
      </c>
    </row>
    <row r="139">
      <c r="A139" t="inlineStr">
        <is>
          <t>41A296352DNP73</t>
        </is>
      </c>
      <c r="B139" t="inlineStr">
        <is>
          <t>CABLE: GROUND S TRAP</t>
        </is>
      </c>
      <c r="C139" t="inlineStr">
        <is>
          <t>Controls (MCA, train control, er etc)</t>
        </is>
      </c>
      <c r="D139" t="inlineStr">
        <is>
          <t>MCA</t>
        </is>
      </c>
      <c r="E139" t="n">
        <v>1</v>
      </c>
      <c r="F139" t="inlineStr">
        <is>
          <t>Imported (USA)</t>
        </is>
      </c>
      <c r="G139" s="3" t="n">
        <v>0.01</v>
      </c>
      <c r="H139" s="4" t="n"/>
    </row>
    <row r="140">
      <c r="A140" t="inlineStr">
        <is>
          <t>41A296352DNP96</t>
        </is>
      </c>
      <c r="B140" t="inlineStr">
        <is>
          <t>Cable: CRM Ethernet Switch to ACC</t>
        </is>
      </c>
      <c r="C140" t="inlineStr">
        <is>
          <t>Controls (MCA, train control, er etc)</t>
        </is>
      </c>
      <c r="D140" t="inlineStr">
        <is>
          <t>MCA</t>
        </is>
      </c>
      <c r="E140" t="n">
        <v>1</v>
      </c>
      <c r="F140" t="inlineStr">
        <is>
          <t>Imported (USA)</t>
        </is>
      </c>
      <c r="G140" s="3" t="n">
        <v>0.01</v>
      </c>
      <c r="H140" s="4" t="n"/>
    </row>
    <row r="141">
      <c r="A141" t="inlineStr">
        <is>
          <t>41A296352DNP57</t>
        </is>
      </c>
      <c r="B141" t="inlineStr">
        <is>
          <t>REMOTE HEAD - VOICE RADIO RITRON</t>
        </is>
      </c>
      <c r="C141" t="inlineStr">
        <is>
          <t>Connectivity</t>
        </is>
      </c>
      <c r="D141" t="inlineStr">
        <is>
          <t>VOICE RADIO</t>
        </is>
      </c>
      <c r="E141" t="n">
        <v>1</v>
      </c>
      <c r="F141" t="inlineStr">
        <is>
          <t>Included / no separate cost</t>
        </is>
      </c>
      <c r="G141" s="3" t="n"/>
      <c r="H141" s="4" t="n"/>
      <c r="M141" t="inlineStr">
        <is>
          <t>Quotation pending (no USD or BRL price)</t>
        </is>
      </c>
    </row>
    <row r="142">
      <c r="A142" t="inlineStr">
        <is>
          <t>41A296326CYP77</t>
        </is>
      </c>
      <c r="B142" t="inlineStr">
        <is>
          <t>M12-A_ MALE_ 8-PIN_ STRAIGHT BSH</t>
        </is>
      </c>
      <c r="C142" t="inlineStr">
        <is>
          <t>SKID Assembly</t>
        </is>
      </c>
      <c r="D142" t="inlineStr">
        <is>
          <t>SKID (Skid)</t>
        </is>
      </c>
      <c r="E142" t="n">
        <v>16</v>
      </c>
      <c r="F142" t="inlineStr">
        <is>
          <t>MISSING - no quote yet</t>
        </is>
      </c>
      <c r="G142" s="3" t="n"/>
      <c r="H142" s="4" t="n"/>
      <c r="M142" t="inlineStr">
        <is>
          <t>Quotation pending (no USD or BRL price)</t>
        </is>
      </c>
    </row>
    <row r="143">
      <c r="A143" t="inlineStr">
        <is>
          <t>41A296352PTP272</t>
        </is>
      </c>
      <c r="B143" t="inlineStr">
        <is>
          <t>BC-PRECISION NAVIGATION MODULE</t>
        </is>
      </c>
      <c r="C143" t="inlineStr">
        <is>
          <t>SKID Assembly</t>
        </is>
      </c>
      <c r="D143" t="inlineStr">
        <is>
          <t>SKID (Skid)</t>
        </is>
      </c>
      <c r="E143" t="n">
        <v>2</v>
      </c>
      <c r="F143" t="inlineStr">
        <is>
          <t>MISSING - no quote yet</t>
        </is>
      </c>
      <c r="G143" s="3" t="n"/>
      <c r="H143" s="4" t="n"/>
      <c r="M143" t="inlineStr">
        <is>
          <t>Quotation pending (no USD or BRL price)</t>
        </is>
      </c>
    </row>
    <row r="144">
      <c r="A144" t="inlineStr">
        <is>
          <t>41A296352PTP58</t>
        </is>
      </c>
      <c r="B144" t="inlineStr">
        <is>
          <t>AY-DISPLAY CSX PTC DISPLAY</t>
        </is>
      </c>
      <c r="C144" t="inlineStr">
        <is>
          <t>SKID Assembly</t>
        </is>
      </c>
      <c r="D144" t="inlineStr">
        <is>
          <t>SKID (Skid)</t>
        </is>
      </c>
      <c r="E144" t="n">
        <v>1</v>
      </c>
      <c r="F144" t="inlineStr">
        <is>
          <t>MISSING - no quote yet</t>
        </is>
      </c>
      <c r="G144" s="3" t="n"/>
      <c r="H144" s="4" t="n"/>
      <c r="M144" t="inlineStr">
        <is>
          <t>Quotation pending (no USD or BRL price)</t>
        </is>
      </c>
    </row>
    <row r="145">
      <c r="A145" t="inlineStr">
        <is>
          <t>41A296352PTP292</t>
        </is>
      </c>
      <c r="B145" t="inlineStr">
        <is>
          <t>AX-POWER SUPPLY 13.6 V</t>
        </is>
      </c>
      <c r="C145" t="inlineStr">
        <is>
          <t>SKID Assembly</t>
        </is>
      </c>
      <c r="D145" t="inlineStr">
        <is>
          <t>SKID (Skid)</t>
        </is>
      </c>
      <c r="E145" t="n">
        <v>1</v>
      </c>
      <c r="F145" t="inlineStr">
        <is>
          <t>MISSING - no quote yet</t>
        </is>
      </c>
      <c r="G145" s="3" t="n"/>
      <c r="H145" s="4" t="n"/>
      <c r="M145" t="inlineStr">
        <is>
          <t>Quotation pending (no USD or BRL price)</t>
        </is>
      </c>
    </row>
    <row r="146">
      <c r="A146" t="inlineStr">
        <is>
          <t>MODEM ATT</t>
        </is>
      </c>
      <c r="B146" t="inlineStr">
        <is>
          <t>MODEM ATT</t>
        </is>
      </c>
      <c r="C146" t="inlineStr">
        <is>
          <t>SKID Assembly</t>
        </is>
      </c>
      <c r="D146" t="inlineStr">
        <is>
          <t>SKID (Skid)</t>
        </is>
      </c>
      <c r="E146" t="n">
        <v>3</v>
      </c>
      <c r="F146" t="inlineStr">
        <is>
          <t>MISSING - no quote yet</t>
        </is>
      </c>
      <c r="G146" s="3" t="n"/>
      <c r="H146" s="4" t="n"/>
      <c r="M146" t="inlineStr">
        <is>
          <t>Exact PN match found in PAC (org GCM) as 'TMC Panel Assembly'. Replacement PN for original 17FL519A1.</t>
        </is>
      </c>
    </row>
    <row r="147">
      <c r="A147" t="inlineStr">
        <is>
          <t>84A237085AJP1</t>
        </is>
      </c>
      <c r="B147" t="inlineStr">
        <is>
          <t>C-GoLIN EP_3 SMA_M2 CELL MODEM</t>
        </is>
      </c>
      <c r="C147" t="inlineStr">
        <is>
          <t>SKID Assembly</t>
        </is>
      </c>
      <c r="D147" t="inlineStr">
        <is>
          <t>Controls (MCA, train control, er etc)</t>
        </is>
      </c>
      <c r="E147" t="n">
        <v>1</v>
      </c>
      <c r="F147" t="inlineStr">
        <is>
          <t>MISSING - no quote yet</t>
        </is>
      </c>
      <c r="G147" s="3" t="n"/>
      <c r="H147" s="4" t="n"/>
      <c r="M147" t="inlineStr">
        <is>
          <t>Quotation pending (no USD or BRL price)</t>
        </is>
      </c>
    </row>
    <row r="148">
      <c r="A148" t="inlineStr">
        <is>
          <t>17FL400B</t>
        </is>
      </c>
      <c r="B148" t="inlineStr">
        <is>
          <t>ST-DEVELOPER v19.4</t>
        </is>
      </c>
      <c r="C148" t="inlineStr">
        <is>
          <t>SKID Assembly</t>
        </is>
      </c>
      <c r="D148" t="inlineStr">
        <is>
          <t>SKID (Skid)</t>
        </is>
      </c>
      <c r="E148" t="n">
        <v>1</v>
      </c>
      <c r="F148" t="inlineStr">
        <is>
          <t>MISSING - no quote yet</t>
        </is>
      </c>
      <c r="G148" s="3" t="n"/>
      <c r="H148" s="4" t="n"/>
      <c r="M148" t="inlineStr">
        <is>
          <t>Quotation pending (no USD or BRL price)</t>
        </is>
      </c>
    </row>
    <row r="149">
      <c r="A149" t="inlineStr">
        <is>
          <t>41A296352CMP448</t>
        </is>
      </c>
      <c r="B149" t="inlineStr">
        <is>
          <t>FB-DIGITAL RADIO MODULE</t>
        </is>
      </c>
      <c r="C149" t="inlineStr">
        <is>
          <t>SKID Assembly</t>
        </is>
      </c>
      <c r="D149" t="inlineStr">
        <is>
          <t>SKID (Skid)</t>
        </is>
      </c>
      <c r="E149" t="n">
        <v>1</v>
      </c>
      <c r="F149" t="inlineStr">
        <is>
          <t>MISSING - no quote yet</t>
        </is>
      </c>
      <c r="G149" s="3" t="n"/>
      <c r="H149" s="4" t="n"/>
      <c r="M149" t="inlineStr">
        <is>
          <t>Quotation pending (no USD or BRL price)</t>
        </is>
      </c>
    </row>
    <row r="150">
      <c r="A150" t="inlineStr">
        <is>
          <t>41A296352PTP326</t>
        </is>
      </c>
      <c r="B150" t="inlineStr">
        <is>
          <t>BH-WABTEC TRAIN MANAGEMENT COMPUTER _WTMC_</t>
        </is>
      </c>
      <c r="C150" t="inlineStr">
        <is>
          <t>SKID Assembly</t>
        </is>
      </c>
      <c r="D150" t="inlineStr">
        <is>
          <t>SKID (Skid)</t>
        </is>
      </c>
      <c r="E150" t="n">
        <v>1</v>
      </c>
      <c r="F150" t="inlineStr">
        <is>
          <t>MISSING - no quote yet</t>
        </is>
      </c>
      <c r="G150" s="3" t="n"/>
      <c r="H150" s="4" t="n"/>
      <c r="M150" t="inlineStr">
        <is>
          <t>Quotation pending (no USD or BRL price)</t>
        </is>
      </c>
    </row>
    <row r="151">
      <c r="A151" t="inlineStr">
        <is>
          <t>17FM711C3</t>
        </is>
      </c>
      <c r="B151" t="inlineStr">
        <is>
          <t>H-PANEL DBM</t>
        </is>
      </c>
      <c r="C151" t="inlineStr">
        <is>
          <t>SKID Assembly</t>
        </is>
      </c>
      <c r="D151" t="inlineStr">
        <is>
          <t>SKID (Skid)</t>
        </is>
      </c>
      <c r="E151" t="n">
        <v>1</v>
      </c>
      <c r="F151" t="inlineStr">
        <is>
          <t>MISSING - no quote yet</t>
        </is>
      </c>
      <c r="G151" s="3" t="n"/>
      <c r="H151" s="4" t="n"/>
      <c r="M151" t="inlineStr">
        <is>
          <t>No PAC record for this exact PN; priced using the PAC reference for the analogous TCD PN 17FM839B1 (org GCM, identical description match) as a second physical display unit for the SKID. Confirm with engineering.</t>
        </is>
      </c>
    </row>
    <row r="152">
      <c r="A152" t="inlineStr">
        <is>
          <t>41A296352BCP9</t>
        </is>
      </c>
      <c r="B152" t="inlineStr">
        <is>
          <t>N-HEAD OF TRAIN DEVICE</t>
        </is>
      </c>
      <c r="C152" t="inlineStr">
        <is>
          <t>SKID Assembly</t>
        </is>
      </c>
      <c r="D152" t="inlineStr">
        <is>
          <t>SKID (Skid)</t>
        </is>
      </c>
      <c r="E152" t="n">
        <v>1</v>
      </c>
      <c r="F152" t="inlineStr">
        <is>
          <t>MISSING - no quote yet</t>
        </is>
      </c>
      <c r="G152" s="3" t="n"/>
      <c r="H152" s="4" t="n"/>
      <c r="M152" t="inlineStr">
        <is>
          <t>Quotation pending (no USD or BRL price)</t>
        </is>
      </c>
    </row>
    <row r="153">
      <c r="A153" t="inlineStr">
        <is>
          <t>RL-1033772</t>
        </is>
      </c>
      <c r="B153" t="inlineStr">
        <is>
          <t>ASSEMBLY, RELAY BOARD</t>
        </is>
      </c>
      <c r="C153" t="inlineStr">
        <is>
          <t>SKID Assembly</t>
        </is>
      </c>
      <c r="D153" t="inlineStr">
        <is>
          <t>SKID (Skid)</t>
        </is>
      </c>
      <c r="E153" t="n">
        <v>1</v>
      </c>
      <c r="F153" t="inlineStr">
        <is>
          <t>MISSING - no quote yet</t>
        </is>
      </c>
      <c r="G153" s="3" t="n"/>
      <c r="H153" s="4" t="n"/>
      <c r="M153" t="inlineStr">
        <is>
          <t>Quotation pending (no USD or BRL price)</t>
        </is>
      </c>
    </row>
    <row r="154">
      <c r="A154" t="inlineStr">
        <is>
          <t>41B549523ADP15</t>
        </is>
      </c>
      <c r="B154" t="inlineStr">
        <is>
          <t>SWITCH PUSH BUTTON</t>
        </is>
      </c>
      <c r="C154" t="inlineStr">
        <is>
          <t>SKID Assembly</t>
        </is>
      </c>
      <c r="D154" t="inlineStr">
        <is>
          <t>SKID (Skid)</t>
        </is>
      </c>
      <c r="E154" t="n">
        <v>2</v>
      </c>
      <c r="F154" t="inlineStr">
        <is>
          <t>MISSING - no quote yet</t>
        </is>
      </c>
      <c r="G154" s="3" t="n"/>
      <c r="H154" s="4" t="n"/>
      <c r="M154" t="inlineStr">
        <is>
          <t>Quotation pending (no USD or BRL price)</t>
        </is>
      </c>
    </row>
    <row r="155">
      <c r="A155" t="inlineStr">
        <is>
          <t>BAP900F</t>
        </is>
      </c>
      <c r="B155" t="inlineStr">
        <is>
          <t>CONVERTER/CHARGER DC/DC 74/72-F4WTSA</t>
        </is>
      </c>
      <c r="C155" t="inlineStr">
        <is>
          <t>SKID Assembly</t>
        </is>
      </c>
      <c r="D155" t="inlineStr">
        <is>
          <t>SKID (Skid)</t>
        </is>
      </c>
      <c r="E155" t="n">
        <v>3</v>
      </c>
      <c r="F155" t="inlineStr">
        <is>
          <t>MISSING - no quote yet</t>
        </is>
      </c>
      <c r="G155" s="3" t="n"/>
      <c r="H155" s="4" t="n"/>
      <c r="M155" t="inlineStr">
        <is>
          <t>Quotation pending (no USD or BRL price)</t>
        </is>
      </c>
    </row>
    <row r="156">
      <c r="A156" t="inlineStr">
        <is>
          <t>41A296352PTP360</t>
        </is>
      </c>
      <c r="B156" t="inlineStr">
        <is>
          <t>_BB-CUT-OUT SWITCH CABINET</t>
        </is>
      </c>
      <c r="C156" t="inlineStr">
        <is>
          <t>SKID Assembly</t>
        </is>
      </c>
      <c r="D156" t="inlineStr">
        <is>
          <t>SKID (Skid)</t>
        </is>
      </c>
      <c r="E156" t="n">
        <v>1</v>
      </c>
      <c r="F156" t="inlineStr">
        <is>
          <t>MISSING - no quote yet</t>
        </is>
      </c>
      <c r="G156" s="3" t="n"/>
      <c r="H156" s="4" t="n"/>
      <c r="M156" t="inlineStr">
        <is>
          <t>Quotation pending (no USD or BRL price)</t>
        </is>
      </c>
    </row>
    <row r="157">
      <c r="A157" t="inlineStr">
        <is>
          <t>N265P21B</t>
        </is>
      </c>
      <c r="B157" t="inlineStr">
        <is>
          <t>NUT, HEX, LOCK, 1/4-20, GR5, Z</t>
        </is>
      </c>
      <c r="C157" t="inlineStr">
        <is>
          <t>SKID Assembly</t>
        </is>
      </c>
      <c r="D157" t="inlineStr">
        <is>
          <t>SKID (Skid)</t>
        </is>
      </c>
      <c r="E157" t="n">
        <v>1</v>
      </c>
      <c r="F157" t="inlineStr">
        <is>
          <t>MISSING - no quote yet</t>
        </is>
      </c>
      <c r="G157" s="3" t="n"/>
      <c r="H157" s="4" t="n"/>
      <c r="M157" t="inlineStr">
        <is>
          <t>Quotation pending (no USD or BRL price)</t>
        </is>
      </c>
    </row>
    <row r="158">
      <c r="A158" t="inlineStr">
        <is>
          <t>N647AP21012B</t>
        </is>
      </c>
      <c r="B158" t="inlineStr">
        <is>
          <t>BOLT, BHCS, 1/4"-20 X 3/4", 18-8</t>
        </is>
      </c>
      <c r="C158" t="inlineStr">
        <is>
          <t>SKID Assembly</t>
        </is>
      </c>
      <c r="D158" t="inlineStr">
        <is>
          <t>SKID (Skid)</t>
        </is>
      </c>
      <c r="E158" t="n">
        <v>17</v>
      </c>
      <c r="F158" t="inlineStr">
        <is>
          <t>MISSING - no quote yet</t>
        </is>
      </c>
      <c r="G158" s="3" t="n"/>
      <c r="H158" s="4" t="n"/>
      <c r="M158" t="inlineStr">
        <is>
          <t>Quotation pending (no USD or BRL price)</t>
        </is>
      </c>
    </row>
    <row r="159">
      <c r="A159" t="inlineStr">
        <is>
          <t>1009634-901</t>
        </is>
      </c>
      <c r="B159" t="inlineStr">
        <is>
          <t>SFM 701x Smart Fan Module</t>
        </is>
      </c>
      <c r="C159" t="inlineStr">
        <is>
          <t>SKID Assembly</t>
        </is>
      </c>
      <c r="D159" t="inlineStr">
        <is>
          <t>bottom on ACC</t>
        </is>
      </c>
      <c r="E159" t="n">
        <v>3</v>
      </c>
      <c r="F159" t="inlineStr">
        <is>
          <t>MISSING - no quote yet</t>
        </is>
      </c>
      <c r="G159" s="3" t="n"/>
      <c r="H159" s="4" t="n"/>
      <c r="M159" t="inlineStr">
        <is>
          <t>Quotation pending (no USD or BRL price)</t>
        </is>
      </c>
    </row>
    <row r="160">
      <c r="A160" t="inlineStr">
        <is>
          <t>401581-100</t>
        </is>
      </c>
      <c r="B160" t="inlineStr">
        <is>
          <t>SFPIM 703x 15v Smart Fan Module</t>
        </is>
      </c>
      <c r="C160" t="inlineStr">
        <is>
          <t>SKID Assembly</t>
        </is>
      </c>
      <c r="D160" t="inlineStr">
        <is>
          <t>41A296352VHP1_E-GEW</t>
        </is>
      </c>
      <c r="E160" t="n">
        <v>2</v>
      </c>
      <c r="F160" t="inlineStr">
        <is>
          <t>MISSING - no quote yet</t>
        </is>
      </c>
      <c r="G160" s="3" t="n"/>
      <c r="H160" s="4" t="n"/>
      <c r="M160" t="inlineStr">
        <is>
          <t>Quotation pending (no USD or BRL price)</t>
        </is>
      </c>
    </row>
    <row r="161">
      <c r="A161" t="inlineStr">
        <is>
          <t>PTC-FILT-NB-160-MIL-U</t>
        </is>
      </c>
      <c r="B161" t="inlineStr">
        <is>
          <t>160 MHz PTC Filter</t>
        </is>
      </c>
      <c r="C161" t="inlineStr">
        <is>
          <t>SKID Assembly</t>
        </is>
      </c>
      <c r="D161" t="inlineStr">
        <is>
          <t>later</t>
        </is>
      </c>
      <c r="E161" t="n">
        <v>1</v>
      </c>
      <c r="F161" t="inlineStr">
        <is>
          <t>MISSING - no quote yet</t>
        </is>
      </c>
      <c r="G161" s="3" t="n"/>
      <c r="H161" s="4" t="n"/>
      <c r="M161" t="inlineStr">
        <is>
          <t>Quotation pending (no USD or BRL price)</t>
        </is>
      </c>
    </row>
    <row r="162">
      <c r="A162" t="inlineStr">
        <is>
          <t>PTC-FILT-NB-220-MIL-MF</t>
        </is>
      </c>
      <c r="B162" t="inlineStr">
        <is>
          <t>220 Mhz PTC FILTER</t>
        </is>
      </c>
      <c r="C162" t="inlineStr">
        <is>
          <t>SKID Assembly</t>
        </is>
      </c>
      <c r="D162" t="inlineStr">
        <is>
          <t>later</t>
        </is>
      </c>
      <c r="E162" t="n">
        <v>2</v>
      </c>
      <c r="F162" t="inlineStr">
        <is>
          <t>MISSING - no quote yet</t>
        </is>
      </c>
      <c r="G162" s="3" t="n"/>
      <c r="H162" s="4" t="n"/>
      <c r="M162" t="inlineStr">
        <is>
          <t>Quotation pending (no USD or BRL price)</t>
        </is>
      </c>
    </row>
    <row r="163">
      <c r="B163" t="inlineStr">
        <is>
          <t>PTC Junction Box</t>
        </is>
      </c>
      <c r="C163" t="inlineStr">
        <is>
          <t>SKID Assembly</t>
        </is>
      </c>
      <c r="D163" t="inlineStr">
        <is>
          <t>SKID (Skid)</t>
        </is>
      </c>
      <c r="E163" t="n">
        <v>1</v>
      </c>
      <c r="F163" t="inlineStr">
        <is>
          <t>MISSING - no quote yet</t>
        </is>
      </c>
      <c r="G163" s="3" t="n"/>
      <c r="H163" s="4" t="n"/>
      <c r="M163" t="inlineStr">
        <is>
          <t>Quotation pending (no USD or BRL price)</t>
        </is>
      </c>
    </row>
    <row r="164">
      <c r="A164" t="inlineStr">
        <is>
          <t>41A296352LUP15</t>
        </is>
      </c>
      <c r="B164" t="inlineStr">
        <is>
          <t>455 MHz Antenna (DPA, DPB, EOT )</t>
        </is>
      </c>
      <c r="C164" t="inlineStr">
        <is>
          <t>SKID Assembly</t>
        </is>
      </c>
      <c r="D164" t="inlineStr">
        <is>
          <t>SKID (Skid)</t>
        </is>
      </c>
      <c r="E164" t="n">
        <v>3</v>
      </c>
      <c r="F164" t="inlineStr">
        <is>
          <t>MISSING - no quote yet</t>
        </is>
      </c>
      <c r="G164" s="3" t="n"/>
      <c r="H164" s="4" t="n"/>
      <c r="M164" t="inlineStr">
        <is>
          <t>Quotation pending (no USD or BRL price)</t>
        </is>
      </c>
    </row>
    <row r="165">
      <c r="A165" t="inlineStr">
        <is>
          <t>84D749224G1</t>
        </is>
      </c>
      <c r="B165" t="inlineStr">
        <is>
          <t>Power resistor</t>
        </is>
      </c>
      <c r="C165" t="inlineStr">
        <is>
          <t>SKID Assembly</t>
        </is>
      </c>
      <c r="D165" t="inlineStr">
        <is>
          <t>Battery Skid?</t>
        </is>
      </c>
      <c r="E165" t="n">
        <v>1</v>
      </c>
      <c r="F165" t="inlineStr">
        <is>
          <t>MISSING - no quote yet</t>
        </is>
      </c>
      <c r="G165" s="3" t="n"/>
      <c r="H165" s="4" t="n"/>
      <c r="M165" t="inlineStr">
        <is>
          <t>Exact PN match found in PAC (org GCM) as 'CARD'. Made by GET; retained for GET impact analysis using PAC reference price.</t>
        </is>
      </c>
    </row>
  </sheetData>
  <autoFilter ref="A3:M165"/>
  <mergeCells count="1">
    <mergeCell ref="A1:M1"/>
  </mergeCells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topLeftCell="A3" workbookViewId="0">
      <selection activeCell="B5" sqref="B5"/>
    </sheetView>
  </sheetViews>
  <sheetFormatPr baseColWidth="8" defaultRowHeight="15"/>
  <cols>
    <col width="62" customWidth="1" style="31" min="1" max="1"/>
    <col width="20" customWidth="1" style="31" min="2" max="3"/>
  </cols>
  <sheetData>
    <row r="1" ht="17.25" customHeight="1" s="31">
      <c r="A1" s="30" t="inlineStr">
        <is>
          <t>P&amp;L PATHFINDER - REAL PRICE (Material Pricing / Approval Summary methodology)</t>
        </is>
      </c>
    </row>
    <row r="3">
      <c r="A3" t="inlineStr">
        <is>
          <t>Exchange Rate (USD-&gt;BRL):</t>
        </is>
      </c>
      <c r="B3" s="6" t="n">
        <v>5.1</v>
      </c>
    </row>
    <row r="4">
      <c r="A4" t="inlineStr">
        <is>
          <t>Total Deal Margin (TDM):</t>
        </is>
      </c>
      <c r="B4" s="7" t="n">
        <v>0.45</v>
      </c>
      <c r="D4" s="32" t="inlineStr">
        <is>
          <t>&lt;- editable. Automatically updates Net Price and Client Price below.</t>
        </is>
      </c>
    </row>
    <row r="5">
      <c r="A5" t="inlineStr">
        <is>
          <t>PIS/COFINS (blended, real NCM where available):</t>
        </is>
      </c>
      <c r="B5" s="9" t="n">
        <v>0.1006</v>
      </c>
    </row>
    <row r="6">
      <c r="A6" t="inlineStr">
        <is>
          <t>ICMS:</t>
        </is>
      </c>
      <c r="B6" s="9" t="n">
        <v>0.18</v>
      </c>
    </row>
    <row r="7">
      <c r="A7" t="inlineStr">
        <is>
          <t>IPI (blended, real NCM where available):</t>
        </is>
      </c>
      <c r="B7" s="9" t="n">
        <v>0.0969</v>
      </c>
    </row>
    <row r="8">
      <c r="B8" s="10" t="inlineStr">
        <is>
          <t>BRL</t>
        </is>
      </c>
      <c r="C8" s="10" t="inlineStr">
        <is>
          <t>USD</t>
        </is>
      </c>
    </row>
    <row r="9">
      <c r="A9" s="11" t="inlineStr">
        <is>
          <t>1) COST (Raw Cost + TP + Freight + Import Duty)</t>
        </is>
      </c>
    </row>
    <row r="10">
      <c r="A10" t="inlineStr">
        <is>
          <t>Raw Cost - Imported Items (BOM USD x Qty x FX)</t>
        </is>
      </c>
      <c r="B10" s="4" t="n">
        <v>1346980.92</v>
      </c>
      <c r="C10" s="3">
        <f>B10/$B$3</f>
        <v/>
      </c>
    </row>
    <row r="11">
      <c r="A11" t="inlineStr">
        <is>
          <t>Raw Cost - PAC Items (already nationalized, all-in local cost)</t>
        </is>
      </c>
      <c r="B11" s="4" t="n">
        <v>166060.16</v>
      </c>
      <c r="C11" s="3">
        <f>B11/$B$3</f>
        <v/>
      </c>
    </row>
    <row r="12">
      <c r="A12" t="inlineStr">
        <is>
          <t>TP - Transfer Price (13%/17.2% per item group; this is WBT USA's own margin)</t>
        </is>
      </c>
      <c r="B12" s="4" t="n">
        <v>198163.69</v>
      </c>
      <c r="C12" s="3">
        <f>B12/$B$3</f>
        <v/>
      </c>
    </row>
    <row r="13">
      <c r="A13" t="inlineStr">
        <is>
          <t>International Freight (real, China Gate quote, 1.23%)</t>
        </is>
      </c>
      <c r="B13" s="4" t="n">
        <v>18998.55</v>
      </c>
      <c r="C13" s="3">
        <f>B13/$B$3</f>
        <v/>
      </c>
    </row>
    <row r="14">
      <c r="A14" t="inlineStr">
        <is>
          <t>II - Import Duty (blended 17.96%, real NCM where available)</t>
        </is>
      </c>
      <c r="B14" s="4" t="n">
        <v>280915.82</v>
      </c>
      <c r="C14" s="3">
        <f>B14/$B$3</f>
        <v/>
      </c>
    </row>
    <row r="15">
      <c r="A15" t="inlineStr">
        <is>
          <t>Domestic Freight (real, China Gate quote, Santos-&gt;Betim/Contagem)</t>
        </is>
      </c>
      <c r="B15" s="4" t="n">
        <v>21753.1</v>
      </c>
      <c r="C15" s="3">
        <f>B15/$B$3</f>
        <v/>
      </c>
    </row>
    <row r="16">
      <c r="A16" t="inlineStr">
        <is>
          <t>Supermetal - GDT Integration/Assembly (railcar modification, direct cost)</t>
        </is>
      </c>
      <c r="B16" s="4" t="n">
        <v>707790.6</v>
      </c>
      <c r="C16" s="3">
        <f>B16/$B$3</f>
        <v/>
      </c>
    </row>
    <row r="17" ht="15.75" customHeight="1" s="31">
      <c r="A17" s="12" t="inlineStr">
        <is>
          <t>FINAL COST (with TP):</t>
        </is>
      </c>
      <c r="B17" s="13">
        <f>SUM(B10:B16)</f>
        <v/>
      </c>
      <c r="C17" s="14">
        <f>B17/$B$3</f>
        <v/>
      </c>
    </row>
    <row r="19">
      <c r="A19" s="11" t="inlineStr">
        <is>
          <t>2) MARGIN (TDM applied on cost WITHOUT TP; TP is added back afterwards with no markup)</t>
        </is>
      </c>
    </row>
    <row r="20">
      <c r="A20" t="inlineStr">
        <is>
          <t>Base for margin (Final Cost - TP)</t>
        </is>
      </c>
      <c r="B20" s="4">
        <f>B17-B12</f>
        <v/>
      </c>
      <c r="C20" s="3">
        <f>B20/$B$3</f>
        <v/>
      </c>
    </row>
    <row r="21">
      <c r="A21" t="inlineStr">
        <is>
          <t>Net Price w/o TP (Base / (1 - TDM))</t>
        </is>
      </c>
      <c r="B21" s="4">
        <f>B20/(1-$B$4)</f>
        <v/>
      </c>
      <c r="C21" s="3">
        <f>B21/$B$3</f>
        <v/>
      </c>
    </row>
    <row r="22" ht="15.75" customHeight="1" s="31">
      <c r="A22" s="12" t="inlineStr">
        <is>
          <t>NET PRICE ('OUR PRICE' - cost + margin, before pass-through taxes):</t>
        </is>
      </c>
      <c r="B22" s="13">
        <f>B21+B12</f>
        <v/>
      </c>
      <c r="C22" s="14">
        <f>B22/$B$3</f>
        <v/>
      </c>
    </row>
    <row r="24">
      <c r="A24" s="11" t="inlineStr">
        <is>
          <t>3) PASS-THROUGH TAXES (do not affect our margin - the client pays, client can credit part of it)</t>
        </is>
      </c>
    </row>
    <row r="25">
      <c r="A25" t="inlineStr">
        <is>
          <t>+ PIS/COFINS (gross-up, tax-inclusive)</t>
        </is>
      </c>
      <c r="B25" s="4">
        <f>B22/(1-$B$5)</f>
        <v/>
      </c>
      <c r="C25" s="3">
        <f>B25/$B$3</f>
        <v/>
      </c>
    </row>
    <row r="26">
      <c r="A26" t="inlineStr">
        <is>
          <t>+ ICMS (gross-up, tax-inclusive, stacked on top of PIS/COFINS)</t>
        </is>
      </c>
      <c r="B26" s="4">
        <f>B25/(1-$B$6)</f>
        <v/>
      </c>
      <c r="C26" s="3">
        <f>B26/$B$3</f>
        <v/>
      </c>
    </row>
    <row r="27">
      <c r="A27" t="inlineStr">
        <is>
          <t>+ IPI (added on top, % of the value already including ICMS)</t>
        </is>
      </c>
      <c r="B27" s="4">
        <f>B26*$B$7</f>
        <v/>
      </c>
      <c r="C27" s="3">
        <f>B27/$B$3</f>
        <v/>
      </c>
    </row>
    <row r="28" ht="15.75" customHeight="1" s="31">
      <c r="A28" s="12" t="inlineStr">
        <is>
          <t>FINAL CLIENT PRICE (all taxes included):</t>
        </is>
      </c>
      <c r="B28" s="13">
        <f>B26+B27</f>
        <v/>
      </c>
      <c r="C28" s="14">
        <f>B28/$B$3</f>
        <v/>
      </c>
    </row>
    <row r="30">
      <c r="A30" s="10" t="inlineStr">
        <is>
          <t>Notes / Assumptions:</t>
        </is>
      </c>
    </row>
    <row r="31">
      <c r="A31" s="32" t="inlineStr">
        <is>
          <t>- Methodology: 'Material Pricing' + 'Approval Summary' tabs of Material Pricing.xlsm (P&amp;L Old was discarded - its formulas are broken / #REF!).</t>
        </is>
      </c>
    </row>
    <row r="32">
      <c r="A32" s="32" t="inlineStr">
        <is>
          <t>- TP is treated as WBT USA's own margin (GM WBT USA); it feeds the cost base but is excluded from WBT Brazil's own margin base (TDM = (TP + GM BRZ) / Net Price).</t>
        </is>
      </c>
    </row>
    <row r="33">
      <c r="A33" s="32" t="inlineStr">
        <is>
          <t>- International and Domestic Freight: real values from the China Gate import cost quote (Planilha de Custos de Importacao - Pathfinder - Set 26.xlsx), not the old 9%/3% assumptions.</t>
        </is>
      </c>
    </row>
    <row r="34">
      <c r="A34" s="32" t="inlineStr">
        <is>
          <t>- II/IPI/PIS-COFINS: real per-NCM rate (Material Pricing's 'II' tab) for the 6 priced imported items with a confirmed NCM; worst-case flat rate (our old blended assumption) for the other 41 without one.</t>
        </is>
      </c>
    </row>
    <row r="35">
      <c r="A35" s="32" t="inlineStr">
        <is>
          <t>- ICMS: flat 18% (same value used in Material Pricing's own real example).</t>
        </is>
      </c>
    </row>
    <row r="36">
      <c r="A36" s="32" t="inlineStr">
        <is>
          <t>- 88 PAC items are summed as a single block (already an all-in local cost, not decomposed into TP/freight/duty).</t>
        </is>
      </c>
    </row>
    <row r="37">
      <c r="A37" s="32" t="inlineStr">
        <is>
          <t>- Supermetal's GDT Integration/Assembly cost (railcar refurbishment: lid, door, ladder, harnesses, battery skid, Fastbrake piping, AC, ballast) is included as a direct cost, feeding the same margin base as the equipment - see the 'GDT Integration and Assembly' tab in the main working file for the line-item breakdown.</t>
        </is>
      </c>
    </row>
    <row r="38">
      <c r="A38" s="32" t="inlineStr">
        <is>
          <t>- 27 items still without a cost quote (Missing) are NOT included in this total - see the Item List tab (Cost Source = MISSING).</t>
        </is>
      </c>
    </row>
    <row r="39">
      <c r="A39" s="32" t="inlineStr">
        <is>
          <t>- QQP (service taxes) and ISS (tax on the GDT integration/labor rollup) were disregarded for now, as requested.</t>
        </is>
      </c>
    </row>
  </sheetData>
  <mergeCells count="10">
    <mergeCell ref="A38:F38"/>
    <mergeCell ref="A1:D1"/>
    <mergeCell ref="A33:F33"/>
    <mergeCell ref="A36:F36"/>
    <mergeCell ref="A37:F37"/>
    <mergeCell ref="A32:F32"/>
    <mergeCell ref="A31:F31"/>
    <mergeCell ref="A34:F34"/>
    <mergeCell ref="A35:F35"/>
    <mergeCell ref="A39:F39"/>
  </mergeCells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:F1"/>
    </sheetView>
  </sheetViews>
  <sheetFormatPr baseColWidth="8" defaultRowHeight="15"/>
  <cols>
    <col width="30" customWidth="1" style="31" min="1" max="1"/>
    <col width="46" customWidth="1" style="31" min="2" max="2"/>
    <col width="18" customWidth="1" style="31" min="3" max="4"/>
    <col width="14" customWidth="1" style="31" min="5" max="5"/>
    <col width="50" customWidth="1" style="31" min="6" max="6"/>
  </cols>
  <sheetData>
    <row r="1" ht="17.25" customHeight="1" s="31">
      <c r="A1" s="30" t="inlineStr">
        <is>
          <t>PRICE CALCULATION DETAIL - source and formula for every number</t>
        </is>
      </c>
    </row>
    <row r="2">
      <c r="A2" s="32" t="inlineStr">
        <is>
          <t>Use this tab to answer 'why is this number X' - every line cites its source.</t>
        </is>
      </c>
    </row>
    <row r="4" ht="15.75" customHeight="1" s="31">
      <c r="A4" s="12" t="inlineStr">
        <is>
          <t>0) REALITY CHECK vs. US domestic price</t>
        </is>
      </c>
    </row>
    <row r="5">
      <c r="A5" t="inlineStr">
        <is>
          <t>US Domestic Reference Price (input - type the real one here):</t>
        </is>
      </c>
      <c r="B5" s="15" t="n">
        <v>900000</v>
      </c>
    </row>
    <row r="6" ht="15.75" customHeight="1" s="31">
      <c r="A6" t="inlineStr">
        <is>
          <t>Our Price (Net - cost + margin, before Brazilian pass-through taxes):</t>
        </is>
      </c>
      <c r="B6" s="16" t="n">
        <v>945272.4347593583</v>
      </c>
      <c r="C6" s="32" t="inlineStr">
        <is>
          <t>&lt;- this is the number that is actually comparable to a US domestic sale (no BR import/consumption tax).</t>
        </is>
      </c>
    </row>
    <row r="7" ht="15.75" customHeight="1" s="31">
      <c r="A7" t="inlineStr">
        <is>
          <t>Final Client Price (with all Brazilian taxes):</t>
        </is>
      </c>
      <c r="B7" s="16" t="n">
        <v>1405909.269713061</v>
      </c>
    </row>
    <row r="8">
      <c r="A8" t="inlineStr">
        <is>
          <t>Gap vs. US reference (Net Price):</t>
        </is>
      </c>
      <c r="B8" s="3">
        <f>B6-B5</f>
        <v/>
      </c>
      <c r="C8" s="17">
        <f>B8/B5</f>
        <v/>
      </c>
    </row>
    <row r="9">
      <c r="A9" t="inlineStr">
        <is>
          <t>Gap vs. US reference (Final Client Price):</t>
        </is>
      </c>
      <c r="B9" s="3">
        <f>B7-B5</f>
        <v/>
      </c>
      <c r="C9" s="17">
        <f>B9/B5</f>
        <v/>
      </c>
    </row>
    <row r="10">
      <c r="A10" s="32" t="inlineStr">
        <is>
          <t>KEY POINT: our Net Price is close to the US reference price - the big jump to the Final Client Price comes entirely from Brazilian</t>
        </is>
      </c>
    </row>
    <row r="11">
      <c r="A11" s="32" t="inlineStr">
        <is>
          <t>import duty (II) and consumption taxes (IPI/PIS/COFINS/ICMS), which do not exist in a US domestic sale and would apply just the</t>
        </is>
      </c>
    </row>
    <row r="12">
      <c r="A12" s="32" t="inlineStr">
        <is>
          <t>same whether we import components or a finished, ready-built railcar (a finished vehicle may in fact face a higher/different II bracket -</t>
        </is>
      </c>
    </row>
    <row r="13">
      <c r="A13" s="32" t="inlineStr">
        <is>
          <t>worth confirming with an auto/rail import specialist before assuming 'buy it finished' avoids this tax cascade).</t>
        </is>
      </c>
    </row>
    <row r="15">
      <c r="A15" s="11" t="inlineStr">
        <is>
          <t>1) FULL WATERFALL (matches the 'Executive Summary (P&amp;L)' tab, expanded with sources)</t>
        </is>
      </c>
    </row>
    <row r="16" ht="60" customHeight="1" s="31">
      <c r="A16" s="2" t="inlineStr">
        <is>
          <t>Step</t>
        </is>
      </c>
      <c r="B16" s="2" t="inlineStr">
        <is>
          <t>Formula / Logic</t>
        </is>
      </c>
      <c r="C16" s="2" t="inlineStr">
        <is>
          <t>BRL</t>
        </is>
      </c>
      <c r="D16" s="2" t="inlineStr">
        <is>
          <t>USD</t>
        </is>
      </c>
      <c r="E16" s="2" t="inlineStr">
        <is>
          <t>Multiplier vs. Final Cost (subtotals only)</t>
        </is>
      </c>
      <c r="F16" s="2" t="inlineStr">
        <is>
          <t>Source / Justification</t>
        </is>
      </c>
    </row>
    <row r="17" ht="45" customHeight="1" s="31">
      <c r="A17" t="inlineStr">
        <is>
          <t>Raw Cost - Imported Items</t>
        </is>
      </c>
      <c r="B17" s="33" t="inlineStr">
        <is>
          <t>BOM USD unit x Qty x FX rate, summed over 47 priced imported items</t>
        </is>
      </c>
      <c r="C17" s="4" t="n">
        <v>1346980.92</v>
      </c>
      <c r="D17" s="3" t="n">
        <v>264113.905882353</v>
      </c>
      <c r="E17" t="inlineStr">
        <is>
          <t>-</t>
        </is>
      </c>
      <c r="F17" s="33" t="inlineStr">
        <is>
          <t>Final Cost List tab, column F (BOM Price USD Unit) x column E (Quantity), FX from Material Pricing.xlsm 'RATES' tab</t>
        </is>
      </c>
    </row>
    <row r="18" ht="45" customHeight="1" s="31">
      <c r="A18" t="inlineStr">
        <is>
          <t>Raw Cost - PAC Items</t>
        </is>
      </c>
      <c r="B18" s="33" t="inlineStr">
        <is>
          <t>Sum of PAC unit cost (BRL) x Qty over 88 PAC-sourced items</t>
        </is>
      </c>
      <c r="C18" s="4" t="n">
        <v>166060.16</v>
      </c>
      <c r="D18" s="3" t="n">
        <v>32560.81568627451</v>
      </c>
      <c r="E18" t="inlineStr">
        <is>
          <t>-</t>
        </is>
      </c>
      <c r="F18" s="33" t="inlineStr">
        <is>
          <t>7-PAC Item Costs.xlsx 'aco_cost' field per item, already a fully-loaded local manufacturing cost (materials+labor+overhead)</t>
        </is>
      </c>
    </row>
    <row r="19" ht="45" customHeight="1" s="31">
      <c r="A19" t="inlineStr">
        <is>
          <t>TP - Transfer Price</t>
        </is>
      </c>
      <c r="B19" s="33" t="inlineStr">
        <is>
          <t>13% on items that already carried some TP historically; 17.2% on items that had none</t>
        </is>
      </c>
      <c r="C19" s="4" t="n">
        <v>198163.69</v>
      </c>
      <c r="D19" s="3" t="n">
        <v>38855.62549019608</v>
      </c>
      <c r="E19" t="inlineStr">
        <is>
          <t>-</t>
        </is>
      </c>
      <c r="F19" s="33" t="inlineStr">
        <is>
          <t>Matheus's directive this session; 17.2%/0% split originally sourced from the color-coded review copy (yellow/green)</t>
        </is>
      </c>
    </row>
    <row r="20" ht="45" customHeight="1" s="31">
      <c r="A20" t="inlineStr">
        <is>
          <t>International Freight</t>
        </is>
      </c>
      <c r="B20" s="33" t="inlineStr">
        <is>
          <t>1.2295642% of (Raw Cost + TP)</t>
        </is>
      </c>
      <c r="C20" s="4" t="n">
        <v>18998.55</v>
      </c>
      <c r="D20" s="3" t="n">
        <v>3725.205882352941</v>
      </c>
      <c r="E20" t="inlineStr">
        <is>
          <t>-</t>
        </is>
      </c>
      <c r="F20" s="33" t="inlineStr">
        <is>
          <t>'Planilha de Custos de Importacao - Pathfinder - Set 26.xlsx' (China Gate customs broker quote), Frete+Seguro / Product Value</t>
        </is>
      </c>
    </row>
    <row r="21" ht="45" customHeight="1" s="31">
      <c r="A21" t="inlineStr">
        <is>
          <t>II - Import Duty</t>
        </is>
      </c>
      <c r="B21" s="33" t="inlineStr">
        <is>
          <t>Blended 17.96% on (Raw Cost+TP+Freight): real per-NCM rate for the 6 items with a confirmed NCM, worst-case 18% flat for the other 41</t>
        </is>
      </c>
      <c r="C21" s="4" t="n">
        <v>280915.82</v>
      </c>
      <c r="D21" s="3" t="n">
        <v>55081.53333333334</v>
      </c>
      <c r="E21" t="inlineStr">
        <is>
          <t>-</t>
        </is>
      </c>
      <c r="F21" s="33" t="inlineStr">
        <is>
          <t>Material Pricing.xlsm 'II' tab (real NCM lookup) + our prior flat assumption as fallback</t>
        </is>
      </c>
    </row>
    <row r="22" ht="45" customHeight="1" s="31">
      <c r="A22" t="inlineStr">
        <is>
          <t>Domestic Freight</t>
        </is>
      </c>
      <c r="B22" s="33" t="inlineStr">
        <is>
          <t>Real flat quote for the whole shipment (Santos -&gt; Betim/Contagem, MG)</t>
        </is>
      </c>
      <c r="C22" s="4" t="n">
        <v>21753.1</v>
      </c>
      <c r="D22" s="3" t="n">
        <v>4265.313725490196</v>
      </c>
      <c r="E22" t="inlineStr">
        <is>
          <t>-</t>
        </is>
      </c>
      <c r="F22" s="33" t="inlineStr">
        <is>
          <t>China Gate quote 'Despesas de Importacao' tab: Siscomex, despachante, armazenagem, road transport, Marinha Mercante, etc.</t>
        </is>
      </c>
    </row>
    <row r="23" ht="45" customHeight="1" s="31">
      <c r="A23" t="inlineStr">
        <is>
          <t>Supermetal - GDT Integration/Assembly</t>
        </is>
      </c>
      <c r="B23" s="33" t="inlineStr">
        <is>
          <t>Direct cost: railcar refurbishment (lid, door, ladder, harnesses, battery skid, Fastbrake piping, AC, ballast)</t>
        </is>
      </c>
      <c r="C23" s="4" t="n">
        <v>707790.6</v>
      </c>
      <c r="D23" s="3" t="n">
        <v>138782.4705882353</v>
      </c>
      <c r="E23" t="inlineStr">
        <is>
          <t>-</t>
        </is>
      </c>
      <c r="F23" s="33" t="inlineStr">
        <is>
          <t>'GDT Integration and Assembly' tab, sum of Direct Cost BRL column (18 line items)</t>
        </is>
      </c>
    </row>
    <row r="24" ht="15.75" customHeight="1" s="31">
      <c r="A24" s="12" t="inlineStr">
        <is>
          <t>FINAL COST (with TP):</t>
        </is>
      </c>
      <c r="C24" s="13" t="n">
        <v>2740662.84</v>
      </c>
      <c r="D24" s="14" t="n">
        <v>537384.8705882353</v>
      </c>
      <c r="E24" s="12" t="inlineStr">
        <is>
          <t>1.000x (baseline)</t>
        </is>
      </c>
    </row>
    <row r="26">
      <c r="A26" s="11" t="inlineStr">
        <is>
          <t>2) MARGIN</t>
        </is>
      </c>
    </row>
    <row r="27" ht="60" customHeight="1" s="31">
      <c r="A27" t="inlineStr">
        <is>
          <t>Base for margin</t>
        </is>
      </c>
      <c r="B27" s="33" t="inlineStr">
        <is>
          <t>Final Cost - TP (TP is excluded from our own margin base - it's WBT USA's margin, not ours)</t>
        </is>
      </c>
      <c r="F27" s="33" t="inlineStr">
        <is>
          <t>Approval Summary tab of Material Pricing.xlsm: TDM = (TP + GM_BRZ) / Net Price. Algebraically this is equivalent to computing margin on (cost - TP) and adding TP back after, which is what this line does.</t>
        </is>
      </c>
    </row>
    <row r="28" ht="30" customHeight="1" s="31">
      <c r="A28" t="inlineStr">
        <is>
          <t>Target margin (TDM)</t>
        </is>
      </c>
      <c r="B28" s="33" t="inlineStr">
        <is>
          <t>Editable - see the Executive Summary (P&amp;L) tab cell B4</t>
        </is>
      </c>
      <c r="F28" s="33" t="inlineStr">
        <is>
          <t>Matheus's target for this exercise: 45%</t>
        </is>
      </c>
    </row>
    <row r="29" ht="15.75" customHeight="1" s="31">
      <c r="A29" s="12" t="inlineStr">
        <is>
          <t>NET PRICE ('OUR PRICE'):</t>
        </is>
      </c>
      <c r="C29" s="13" t="n">
        <v>4820889.417272727</v>
      </c>
      <c r="D29" s="14" t="n">
        <v>945272.4347593583</v>
      </c>
      <c r="E29" t="inlineStr">
        <is>
          <t>1.759x</t>
        </is>
      </c>
    </row>
    <row r="31">
      <c r="A31" s="11" t="inlineStr">
        <is>
          <t>3) PASS-THROUGH TAXES (client pays; do not affect our margin)</t>
        </is>
      </c>
    </row>
    <row r="32" ht="45" customHeight="1" s="31">
      <c r="A32" t="inlineStr">
        <is>
          <t>PIS/COFINS</t>
        </is>
      </c>
      <c r="B32" s="33" t="inlineStr">
        <is>
          <t>Net Price / (1 - 10.06%) - gross-up, blended real-NCM rate</t>
        </is>
      </c>
      <c r="F32" s="33" t="inlineStr">
        <is>
          <t>Material Pricing.xlsm 'II' tab (real per-NCM PIS+COFINS) for known items, worst-case 9.25% for the rest</t>
        </is>
      </c>
    </row>
    <row r="33" ht="75" customHeight="1" s="31">
      <c r="A33" t="inlineStr">
        <is>
          <t>ICMS</t>
        </is>
      </c>
      <c r="B33" s="33" t="inlineStr">
        <is>
          <t>Previous subtotal / (1 - 18%) - gross-up, stacked on top of PIS/COFINS</t>
        </is>
      </c>
      <c r="F33" s="33" t="inlineStr">
        <is>
          <t>Flat 18%, matches Material Pricing's own worked example. NOT yet validated against the client's specific destination-state ICMS rate (Tabela ICMS / Aliquotas Basicas tabs have the real origin-destination matrix if needed).</t>
        </is>
      </c>
    </row>
    <row r="34" ht="30" customHeight="1" s="31">
      <c r="A34" t="inlineStr">
        <is>
          <t>IPI</t>
        </is>
      </c>
      <c r="B34" s="33" t="inlineStr">
        <is>
          <t>Previous subtotal x blended IPI% - added on top, not a gross-up</t>
        </is>
      </c>
      <c r="F34" s="33" t="inlineStr">
        <is>
          <t>Material Pricing.xlsm 'II' tab (real per-NCM IPI) for known items, worst-case 9.75% for the rest</t>
        </is>
      </c>
    </row>
    <row r="35" ht="15.75" customHeight="1" s="31">
      <c r="A35" s="12" t="inlineStr">
        <is>
          <t>FINAL CLIENT PRICE:</t>
        </is>
      </c>
      <c r="C35" s="13" t="n">
        <v>7170137.27553661</v>
      </c>
      <c r="D35" s="14" t="n">
        <v>1405909.269713061</v>
      </c>
      <c r="E35" t="inlineStr">
        <is>
          <t>2.616x</t>
        </is>
      </c>
    </row>
    <row r="37">
      <c r="A37" s="11" t="inlineStr">
        <is>
          <t>4) ASSUMPTIONS REGISTER (challenge a specific input here, not the whole number)</t>
        </is>
      </c>
    </row>
    <row r="38" ht="30" customHeight="1" s="31">
      <c r="A38" s="2" t="inlineStr">
        <is>
          <t>Assumption</t>
        </is>
      </c>
      <c r="B38" s="2" t="inlineStr">
        <is>
          <t>Value Used</t>
        </is>
      </c>
      <c r="C38" s="2" t="inlineStr">
        <is>
          <t>Confidence</t>
        </is>
      </c>
      <c r="D38" s="2" t="inlineStr">
        <is>
          <t>Where it could be wrong</t>
        </is>
      </c>
    </row>
    <row r="39">
      <c r="A39" t="inlineStr">
        <is>
          <t>Exchange Rate</t>
        </is>
      </c>
      <c r="B39" t="inlineStr">
        <is>
          <t>5.10 BRL/USD</t>
        </is>
      </c>
      <c r="C39" t="inlineStr">
        <is>
          <t>Medium</t>
        </is>
      </c>
      <c r="D39" s="33" t="inlineStr">
        <is>
          <t>Fixed snapshot from Material Pricing.xlsm; will drift with the real FX on invoice date</t>
        </is>
      </c>
    </row>
    <row r="40">
      <c r="A40" t="inlineStr">
        <is>
          <t>TP rate split</t>
        </is>
      </c>
      <c r="B40" t="inlineStr">
        <is>
          <t>13% / 17.2%</t>
        </is>
      </c>
      <c r="C40" t="inlineStr">
        <is>
          <t>Low-Medium</t>
        </is>
      </c>
      <c r="D40" s="33" t="inlineStr">
        <is>
          <t>Arbitrary split chosen this session, not from an official WBT transfer pricing policy document</t>
        </is>
      </c>
    </row>
    <row r="41">
      <c r="A41" t="inlineStr">
        <is>
          <t>International Freight</t>
        </is>
      </c>
      <c r="B41" t="inlineStr">
        <is>
          <t>1.23% of value</t>
        </is>
      </c>
      <c r="C41" t="inlineStr">
        <is>
          <t>High</t>
        </is>
      </c>
      <c r="D41" s="33" t="inlineStr">
        <is>
          <t>Real broker quote, but only a simulation per the quote's own disclaimer - confirm with actual booking</t>
        </is>
      </c>
    </row>
    <row r="42">
      <c r="A42" t="inlineStr">
        <is>
          <t>Domestic Freight</t>
        </is>
      </c>
      <c r="B42" t="inlineStr">
        <is>
          <t>R$21,753.10 flat</t>
        </is>
      </c>
      <c r="C42" t="inlineStr">
        <is>
          <t>High</t>
        </is>
      </c>
      <c r="D42" s="33" t="inlineStr">
        <is>
          <t>Real broker quote for Santos-&gt;Betim/Contagem specifically; changes if origin/destination changes</t>
        </is>
      </c>
    </row>
    <row r="43">
      <c r="A43" t="inlineStr">
        <is>
          <t>II (Import Duty)</t>
        </is>
      </c>
      <c r="B43" t="inlineStr">
        <is>
          <t>17.96% blended (6 of 47 imported items on real NCM)</t>
        </is>
      </c>
      <c r="C43" t="inlineStr">
        <is>
          <t>Medium</t>
        </is>
      </c>
      <c r="D43" s="33" t="inlineStr">
        <is>
          <t>41 of 47 imported items still use the worst-case 18% default - no NCM confirmed for them yet</t>
        </is>
      </c>
    </row>
    <row r="44">
      <c r="A44" t="inlineStr">
        <is>
          <t>PIS/COFINS</t>
        </is>
      </c>
      <c r="B44" t="inlineStr">
        <is>
          <t>10.06% blended</t>
        </is>
      </c>
      <c r="C44" t="inlineStr">
        <is>
          <t>Medium</t>
        </is>
      </c>
      <c r="D44" s="33" t="inlineStr">
        <is>
          <t>Same NCM-coverage gap as II</t>
        </is>
      </c>
    </row>
    <row r="45">
      <c r="A45" t="inlineStr">
        <is>
          <t>IPI</t>
        </is>
      </c>
      <c r="B45" t="inlineStr">
        <is>
          <t>9.69% blended</t>
        </is>
      </c>
      <c r="C45" t="inlineStr">
        <is>
          <t>Medium</t>
        </is>
      </c>
      <c r="D45" s="33" t="inlineStr">
        <is>
          <t>Same NCM-coverage gap as II</t>
        </is>
      </c>
    </row>
    <row r="46">
      <c r="A46" t="inlineStr">
        <is>
          <t>ICMS</t>
        </is>
      </c>
      <c r="B46" t="inlineStr">
        <is>
          <t>18% flat</t>
        </is>
      </c>
      <c r="C46" t="inlineStr">
        <is>
          <t>Low-Medium</t>
        </is>
      </c>
      <c r="D46" s="33" t="inlineStr">
        <is>
          <t>Not looked up per origin-destination UF pair; real rate could be lower (interstate) or have RBC reduction</t>
        </is>
      </c>
    </row>
    <row r="47">
      <c r="A47" t="inlineStr">
        <is>
          <t>Total Deal Margin (TDM)</t>
        </is>
      </c>
      <c r="B47" t="inlineStr">
        <is>
          <t>45%</t>
        </is>
      </c>
      <c r="C47" t="inlineStr">
        <is>
          <t>N/A - business decision</t>
        </is>
      </c>
      <c r="D47" s="33" t="inlineStr">
        <is>
          <t>This is the single biggest lever on the final price - see the sensitivity table below</t>
        </is>
      </c>
    </row>
    <row r="48">
      <c r="A48" t="inlineStr">
        <is>
          <t>PAC items</t>
        </is>
      </c>
      <c r="B48" t="inlineStr">
        <is>
          <t>Treated as one all-in lump, no TP/freight/duty decomposition</t>
        </is>
      </c>
      <c r="C48" t="inlineStr">
        <is>
          <t>High</t>
        </is>
      </c>
      <c r="D48" s="33" t="inlineStr">
        <is>
          <t>PAC cost is a genuine local Brazilian manufacturing cost buildup, not an import transaction</t>
        </is>
      </c>
    </row>
    <row r="49">
      <c r="A49" t="inlineStr">
        <is>
          <t>Missing items</t>
        </is>
      </c>
      <c r="B49" t="inlineStr">
        <is>
          <t>27 items excluded (no cost yet)</t>
        </is>
      </c>
      <c r="C49" t="inlineStr">
        <is>
          <t>N/A</t>
        </is>
      </c>
      <c r="D49" s="33" t="inlineStr">
        <is>
          <t>Final price will increase once these get quotes - see 'Missing Items' tab</t>
        </is>
      </c>
    </row>
    <row r="50">
      <c r="A50" t="inlineStr">
        <is>
          <t>Supermetal / GDT rollup</t>
        </is>
      </c>
      <c r="B50" t="inlineStr">
        <is>
          <t>Treated as local cost, no import duty applied (correct, it's Brazilian labor+materials)</t>
        </is>
      </c>
      <c r="C50" t="inlineStr">
        <is>
          <t>Medium</t>
        </is>
      </c>
      <c r="D50" s="33" t="inlineStr">
        <is>
          <t>Does not yet include ISS (service tax) on the labor portion - disregarded for now per Matheus's instruction</t>
        </is>
      </c>
    </row>
    <row r="52">
      <c r="A52" s="11" t="inlineStr">
        <is>
          <t>5) MARGIN SENSITIVITY (same cost base, different TDM targets)</t>
        </is>
      </c>
    </row>
    <row r="53">
      <c r="A53" s="19" t="inlineStr">
        <is>
          <t>TDM</t>
        </is>
      </c>
      <c r="B53" s="19" t="inlineStr">
        <is>
          <t>Net Price (Our Price) USD</t>
        </is>
      </c>
      <c r="C53" s="19" t="inlineStr">
        <is>
          <t>Final Client Price USD</t>
        </is>
      </c>
    </row>
    <row r="54">
      <c r="A54" s="17" t="n">
        <v>0.3</v>
      </c>
      <c r="B54" s="3" t="n">
        <v>751040.2613445378</v>
      </c>
      <c r="C54" s="3" t="n">
        <v>1117026.612143629</v>
      </c>
    </row>
    <row r="56">
      <c r="A56" s="17" t="n">
        <v>0.35</v>
      </c>
      <c r="B56" s="3" t="n">
        <v>805823.6948717949</v>
      </c>
      <c r="C56" s="3" t="n">
        <v>1198506.336073469</v>
      </c>
    </row>
    <row r="58">
      <c r="A58" s="17" t="n">
        <v>0.4</v>
      </c>
      <c r="B58" s="3" t="n">
        <v>869737.7006535948</v>
      </c>
      <c r="C58" s="3" t="n">
        <v>1293566.013991615</v>
      </c>
    </row>
    <row r="60">
      <c r="A60" s="20" t="n">
        <v>0.45</v>
      </c>
      <c r="B60" s="21" t="n">
        <v>945272.4347593583</v>
      </c>
      <c r="C60" s="21" t="n">
        <v>1405909.269713061</v>
      </c>
    </row>
    <row r="62">
      <c r="A62" s="17" t="n">
        <v>0.5</v>
      </c>
      <c r="B62" s="3" t="n">
        <v>1035914.115686275</v>
      </c>
      <c r="C62" s="3" t="n">
        <v>1540721.176578796</v>
      </c>
    </row>
    <row r="64">
      <c r="A64" s="17" t="n">
        <v>0.55</v>
      </c>
      <c r="B64" s="3" t="n">
        <v>1146698.392374728</v>
      </c>
      <c r="C64" s="3" t="n">
        <v>1705491.28497025</v>
      </c>
    </row>
    <row r="66">
      <c r="A66" s="10" t="inlineStr">
        <is>
          <t>Notes:</t>
        </is>
      </c>
    </row>
    <row r="67">
      <c r="A67" s="32" t="inlineStr">
        <is>
          <t>- This tab is a companion to 'Executive Summary (P&amp;L)' - same numbers, but every line explains itself.</t>
        </is>
      </c>
    </row>
    <row r="68">
      <c r="A68" s="32" t="inlineStr">
        <is>
          <t>- QQP (service taxes) and ISS on the Supermetal/labor portion were disregarded for now, as requested - the final price could increase once those are added.</t>
        </is>
      </c>
    </row>
  </sheetData>
  <mergeCells count="19">
    <mergeCell ref="D41:F41"/>
    <mergeCell ref="D48:F48"/>
    <mergeCell ref="A12:F12"/>
    <mergeCell ref="D47:F47"/>
    <mergeCell ref="D43:F43"/>
    <mergeCell ref="D39:F39"/>
    <mergeCell ref="D42:F42"/>
    <mergeCell ref="A10:F10"/>
    <mergeCell ref="A13:F13"/>
    <mergeCell ref="A68:F68"/>
    <mergeCell ref="A67:F67"/>
    <mergeCell ref="D50:F50"/>
    <mergeCell ref="D44:F44"/>
    <mergeCell ref="A11:F11"/>
    <mergeCell ref="D46:F46"/>
    <mergeCell ref="A1:F1"/>
    <mergeCell ref="D40:F40"/>
    <mergeCell ref="D45:F45"/>
    <mergeCell ref="D49:F49"/>
  </mergeCells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62" customWidth="1" style="31" min="1" max="1"/>
    <col width="19" customWidth="1" style="31" min="2" max="2"/>
    <col width="19" customWidth="1" style="31" min="3" max="3"/>
    <col width="19" customWidth="1" style="31" min="4" max="4"/>
    <col width="19" customWidth="1" style="31" min="5" max="5"/>
    <col width="19" customWidth="1" style="31" min="6" max="6"/>
    <col width="19" customWidth="1" style="31" min="7" max="7"/>
    <col width="19" customWidth="1" style="31" min="8" max="8"/>
    <col width="19" customWidth="1" style="31" min="9" max="9"/>
    <col width="19" customWidth="1" style="31" min="10" max="10"/>
    <col width="19" customWidth="1" style="31" min="11" max="11"/>
  </cols>
  <sheetData>
    <row r="1">
      <c r="A1" s="34" t="inlineStr">
        <is>
          <t>SIMULATION - what really makes the Pathfinder Iron Ore Car expensive</t>
        </is>
      </c>
    </row>
    <row r="2">
      <c r="A2" s="35" t="inlineStr">
        <is>
          <t>Change the two yellow switches; the comparison table on the right never depends on them.</t>
        </is>
      </c>
    </row>
    <row r="4">
      <c r="A4" s="36" t="inlineStr">
        <is>
          <t>SWITCHES</t>
        </is>
      </c>
    </row>
    <row r="5">
      <c r="A5" t="inlineStr">
        <is>
          <t>Remove import duty (II) from everything?  (1 = yes, 0 = no)</t>
        </is>
      </c>
      <c r="B5" s="37" t="n">
        <v>0</v>
      </c>
    </row>
    <row r="6">
      <c r="A6" t="inlineStr">
        <is>
          <t>Battery sets  (2 = current BOM, 1 = a single set)</t>
        </is>
      </c>
      <c r="B6" s="37" t="n">
        <v>2</v>
      </c>
    </row>
    <row r="8">
      <c r="A8" s="36" t="inlineStr">
        <is>
          <t>BASE VALUES (read from the P&amp;L tab)</t>
        </is>
      </c>
    </row>
    <row r="9">
      <c r="A9" t="inlineStr">
        <is>
          <t>Exchange rate</t>
        </is>
      </c>
      <c r="B9" s="22">
        <f>'Executive Summary (P&amp;L)'!B3</f>
        <v/>
      </c>
    </row>
    <row r="10">
      <c r="A10" t="inlineStr">
        <is>
          <t>Total Deal Margin (TDM)</t>
        </is>
      </c>
      <c r="B10" s="17">
        <f>'Executive Summary (P&amp;L)'!B4</f>
        <v/>
      </c>
    </row>
    <row r="11">
      <c r="A11" t="inlineStr">
        <is>
          <t>PIS/COFINS</t>
        </is>
      </c>
      <c r="B11" s="17">
        <f>'Executive Summary (P&amp;L)'!B5</f>
        <v/>
      </c>
    </row>
    <row r="12">
      <c r="A12" t="inlineStr">
        <is>
          <t>ICMS</t>
        </is>
      </c>
      <c r="B12" s="17">
        <f>'Executive Summary (P&amp;L)'!B6</f>
        <v/>
      </c>
    </row>
    <row r="13">
      <c r="A13" t="inlineStr">
        <is>
          <t>IPI</t>
        </is>
      </c>
      <c r="B13" s="17">
        <f>'Executive Summary (P&amp;L)'!B7</f>
        <v/>
      </c>
    </row>
    <row r="14">
      <c r="A14" t="inlineStr">
        <is>
          <t>US domestic reference price (USD, input)</t>
        </is>
      </c>
      <c r="B14" s="38" t="n">
        <v>900000</v>
      </c>
    </row>
    <row r="17">
      <c r="A17" s="39" t="inlineStr">
        <is>
          <t>SCENARIOS</t>
        </is>
      </c>
    </row>
    <row r="18" ht="48" customHeight="1" s="31">
      <c r="B18" s="40" t="inlineStr">
        <is>
          <t>Selected (switches) - BRL</t>
        </is>
      </c>
      <c r="C18" s="40" t="inlineStr">
        <is>
          <t>Selected (switches) - USD</t>
        </is>
      </c>
      <c r="D18" s="40" t="inlineStr">
        <is>
          <t>Base (current) - BRL</t>
        </is>
      </c>
      <c r="E18" s="40" t="inlineStr">
        <is>
          <t>Base (current) - USD</t>
        </is>
      </c>
      <c r="F18" s="40" t="inlineStr">
        <is>
          <t>No import duty (II) - BRL</t>
        </is>
      </c>
      <c r="G18" s="40" t="inlineStr">
        <is>
          <t>No import duty (II) - USD</t>
        </is>
      </c>
      <c r="H18" s="40" t="inlineStr">
        <is>
          <t>1 battery set - BRL</t>
        </is>
      </c>
      <c r="I18" s="40" t="inlineStr">
        <is>
          <t>1 battery set - USD</t>
        </is>
      </c>
      <c r="J18" s="40" t="inlineStr">
        <is>
          <t>No II + 1 battery set - BRL</t>
        </is>
      </c>
      <c r="K18" s="40" t="inlineStr">
        <is>
          <t>No II + 1 battery set - USD</t>
        </is>
      </c>
    </row>
    <row r="19">
      <c r="A19" t="inlineStr">
        <is>
          <t>Raw cost - imported items</t>
        </is>
      </c>
      <c r="B19" s="24">
        <f>$B$48+$C$48*($B$6)</f>
        <v/>
      </c>
      <c r="C19" s="25">
        <f>B19/$B$9</f>
        <v/>
      </c>
      <c r="D19" s="4">
        <f>$B$48+$C$48*(2)</f>
        <v/>
      </c>
      <c r="E19" s="3">
        <f>D19/$B$9</f>
        <v/>
      </c>
      <c r="F19" s="4">
        <f>$B$48+$C$48*(2)</f>
        <v/>
      </c>
      <c r="G19" s="3">
        <f>F19/$B$9</f>
        <v/>
      </c>
      <c r="H19" s="4">
        <f>$B$48+$C$48*(1)</f>
        <v/>
      </c>
      <c r="I19" s="3">
        <f>H19/$B$9</f>
        <v/>
      </c>
      <c r="J19" s="4">
        <f>$B$48+$C$48*(1)</f>
        <v/>
      </c>
      <c r="K19" s="3">
        <f>J19/$B$9</f>
        <v/>
      </c>
    </row>
    <row r="20">
      <c r="A20" t="inlineStr">
        <is>
          <t>Raw cost - PAC items</t>
        </is>
      </c>
      <c r="B20" s="24">
        <f>$B$49</f>
        <v/>
      </c>
      <c r="C20" s="25">
        <f>B20/$B$9</f>
        <v/>
      </c>
      <c r="D20" s="4">
        <f>$B$49</f>
        <v/>
      </c>
      <c r="E20" s="3">
        <f>D20/$B$9</f>
        <v/>
      </c>
      <c r="F20" s="4">
        <f>$B$49</f>
        <v/>
      </c>
      <c r="G20" s="3">
        <f>F20/$B$9</f>
        <v/>
      </c>
      <c r="H20" s="4">
        <f>$B$49</f>
        <v/>
      </c>
      <c r="I20" s="3">
        <f>H20/$B$9</f>
        <v/>
      </c>
      <c r="J20" s="4">
        <f>$B$49</f>
        <v/>
      </c>
      <c r="K20" s="3">
        <f>J20/$B$9</f>
        <v/>
      </c>
    </row>
    <row r="21">
      <c r="A21" t="inlineStr">
        <is>
          <t>TP - Transfer Price</t>
        </is>
      </c>
      <c r="B21" s="24">
        <f>$B$50+$C$50*($B$6)</f>
        <v/>
      </c>
      <c r="C21" s="25">
        <f>B21/$B$9</f>
        <v/>
      </c>
      <c r="D21" s="4">
        <f>$B$50+$C$50*(2)</f>
        <v/>
      </c>
      <c r="E21" s="3">
        <f>D21/$B$9</f>
        <v/>
      </c>
      <c r="F21" s="4">
        <f>$B$50+$C$50*(2)</f>
        <v/>
      </c>
      <c r="G21" s="3">
        <f>F21/$B$9</f>
        <v/>
      </c>
      <c r="H21" s="4">
        <f>$B$50+$C$50*(1)</f>
        <v/>
      </c>
      <c r="I21" s="3">
        <f>H21/$B$9</f>
        <v/>
      </c>
      <c r="J21" s="4">
        <f>$B$50+$C$50*(1)</f>
        <v/>
      </c>
      <c r="K21" s="3">
        <f>J21/$B$9</f>
        <v/>
      </c>
    </row>
    <row r="22">
      <c r="A22" t="inlineStr">
        <is>
          <t>International freight</t>
        </is>
      </c>
      <c r="B22" s="24">
        <f>$B$51+$C$51*($B$6)</f>
        <v/>
      </c>
      <c r="C22" s="25">
        <f>B22/$B$9</f>
        <v/>
      </c>
      <c r="D22" s="4">
        <f>$B$51+$C$51*(2)</f>
        <v/>
      </c>
      <c r="E22" s="3">
        <f>D22/$B$9</f>
        <v/>
      </c>
      <c r="F22" s="4">
        <f>$B$51+$C$51*(2)</f>
        <v/>
      </c>
      <c r="G22" s="3">
        <f>F22/$B$9</f>
        <v/>
      </c>
      <c r="H22" s="4">
        <f>$B$51+$C$51*(1)</f>
        <v/>
      </c>
      <c r="I22" s="3">
        <f>H22/$B$9</f>
        <v/>
      </c>
      <c r="J22" s="4">
        <f>$B$51+$C$51*(1)</f>
        <v/>
      </c>
      <c r="K22" s="3">
        <f>J22/$B$9</f>
        <v/>
      </c>
    </row>
    <row r="23">
      <c r="A23" t="inlineStr">
        <is>
          <t>II - Import duty</t>
        </is>
      </c>
      <c r="B23" s="24">
        <f>($B$52+$C$52*($B$6))*(1-($B$5))</f>
        <v/>
      </c>
      <c r="C23" s="25">
        <f>B23/$B$9</f>
        <v/>
      </c>
      <c r="D23" s="4">
        <f>($B$52+$C$52*(2))*(1-(0))</f>
        <v/>
      </c>
      <c r="E23" s="3">
        <f>D23/$B$9</f>
        <v/>
      </c>
      <c r="F23" s="4">
        <f>($B$52+$C$52*(2))*(1-(1))</f>
        <v/>
      </c>
      <c r="G23" s="3">
        <f>F23/$B$9</f>
        <v/>
      </c>
      <c r="H23" s="4">
        <f>($B$52+$C$52*(1))*(1-(0))</f>
        <v/>
      </c>
      <c r="I23" s="3">
        <f>H23/$B$9</f>
        <v/>
      </c>
      <c r="J23" s="4">
        <f>($B$52+$C$52*(1))*(1-(1))</f>
        <v/>
      </c>
      <c r="K23" s="3">
        <f>J23/$B$9</f>
        <v/>
      </c>
    </row>
    <row r="24">
      <c r="A24" t="inlineStr">
        <is>
          <t>Domestic freight</t>
        </is>
      </c>
      <c r="B24" s="24">
        <f>$B$53</f>
        <v/>
      </c>
      <c r="C24" s="25">
        <f>B24/$B$9</f>
        <v/>
      </c>
      <c r="D24" s="4">
        <f>$B$53</f>
        <v/>
      </c>
      <c r="E24" s="3">
        <f>D24/$B$9</f>
        <v/>
      </c>
      <c r="F24" s="4">
        <f>$B$53</f>
        <v/>
      </c>
      <c r="G24" s="3">
        <f>F24/$B$9</f>
        <v/>
      </c>
      <c r="H24" s="4">
        <f>$B$53</f>
        <v/>
      </c>
      <c r="I24" s="3">
        <f>H24/$B$9</f>
        <v/>
      </c>
      <c r="J24" s="4">
        <f>$B$53</f>
        <v/>
      </c>
      <c r="K24" s="3">
        <f>J24/$B$9</f>
        <v/>
      </c>
    </row>
    <row r="25">
      <c r="A25" t="inlineStr">
        <is>
          <t>Supermetal - refurbishment / integration</t>
        </is>
      </c>
      <c r="B25" s="24">
        <f>$B$54</f>
        <v/>
      </c>
      <c r="C25" s="25">
        <f>B25/$B$9</f>
        <v/>
      </c>
      <c r="D25" s="4">
        <f>$B$54</f>
        <v/>
      </c>
      <c r="E25" s="3">
        <f>D25/$B$9</f>
        <v/>
      </c>
      <c r="F25" s="4">
        <f>$B$54</f>
        <v/>
      </c>
      <c r="G25" s="3">
        <f>F25/$B$9</f>
        <v/>
      </c>
      <c r="H25" s="4">
        <f>$B$54</f>
        <v/>
      </c>
      <c r="I25" s="3">
        <f>H25/$B$9</f>
        <v/>
      </c>
      <c r="J25" s="4">
        <f>$B$54</f>
        <v/>
      </c>
      <c r="K25" s="3">
        <f>J25/$B$9</f>
        <v/>
      </c>
    </row>
    <row r="26">
      <c r="A26" s="36" t="inlineStr">
        <is>
          <t>FINAL COST (with TP):</t>
        </is>
      </c>
      <c r="B26" s="41">
        <f>SUM(B19:B25)</f>
        <v/>
      </c>
      <c r="C26" s="42">
        <f>B26/$B$9</f>
        <v/>
      </c>
      <c r="D26" s="43">
        <f>SUM(D19:D25)</f>
        <v/>
      </c>
      <c r="E26" s="44">
        <f>D26/$B$9</f>
        <v/>
      </c>
      <c r="F26" s="43">
        <f>SUM(F19:F25)</f>
        <v/>
      </c>
      <c r="G26" s="44">
        <f>F26/$B$9</f>
        <v/>
      </c>
      <c r="H26" s="43">
        <f>SUM(H19:H25)</f>
        <v/>
      </c>
      <c r="I26" s="44">
        <f>H26/$B$9</f>
        <v/>
      </c>
      <c r="J26" s="43">
        <f>SUM(J19:J25)</f>
        <v/>
      </c>
      <c r="K26" s="44">
        <f>J26/$B$9</f>
        <v/>
      </c>
    </row>
    <row r="27">
      <c r="A27" t="inlineStr">
        <is>
          <t>Base for margin (Final Cost - TP)</t>
        </is>
      </c>
      <c r="B27" s="24">
        <f>B26-B21</f>
        <v/>
      </c>
      <c r="C27" s="25">
        <f>B27/$B$9</f>
        <v/>
      </c>
      <c r="D27" s="4">
        <f>D26-D21</f>
        <v/>
      </c>
      <c r="E27" s="3">
        <f>D27/$B$9</f>
        <v/>
      </c>
      <c r="F27" s="4">
        <f>F26-F21</f>
        <v/>
      </c>
      <c r="G27" s="3">
        <f>F27/$B$9</f>
        <v/>
      </c>
      <c r="H27" s="4">
        <f>H26-H21</f>
        <v/>
      </c>
      <c r="I27" s="3">
        <f>H27/$B$9</f>
        <v/>
      </c>
      <c r="J27" s="4">
        <f>J26-J21</f>
        <v/>
      </c>
      <c r="K27" s="3">
        <f>J27/$B$9</f>
        <v/>
      </c>
    </row>
    <row r="28">
      <c r="A28" t="inlineStr">
        <is>
          <t>Net price w/o TP (Base / (1 - TDM))</t>
        </is>
      </c>
      <c r="B28" s="24">
        <f>B27/(1-$B$10)</f>
        <v/>
      </c>
      <c r="C28" s="25">
        <f>B28/$B$9</f>
        <v/>
      </c>
      <c r="D28" s="4">
        <f>D27/(1-$B$10)</f>
        <v/>
      </c>
      <c r="E28" s="3">
        <f>D28/$B$9</f>
        <v/>
      </c>
      <c r="F28" s="4">
        <f>F27/(1-$B$10)</f>
        <v/>
      </c>
      <c r="G28" s="3">
        <f>F28/$B$9</f>
        <v/>
      </c>
      <c r="H28" s="4">
        <f>H27/(1-$B$10)</f>
        <v/>
      </c>
      <c r="I28" s="3">
        <f>H28/$B$9</f>
        <v/>
      </c>
      <c r="J28" s="4">
        <f>J27/(1-$B$10)</f>
        <v/>
      </c>
      <c r="K28" s="3">
        <f>J28/$B$9</f>
        <v/>
      </c>
    </row>
    <row r="29">
      <c r="A29" s="36" t="inlineStr">
        <is>
          <t>NET PRICE ('OUR PRICE'):</t>
        </is>
      </c>
      <c r="B29" s="41">
        <f>B28+B21</f>
        <v/>
      </c>
      <c r="C29" s="42">
        <f>B29/$B$9</f>
        <v/>
      </c>
      <c r="D29" s="43">
        <f>D28+D21</f>
        <v/>
      </c>
      <c r="E29" s="44">
        <f>D29/$B$9</f>
        <v/>
      </c>
      <c r="F29" s="43">
        <f>F28+F21</f>
        <v/>
      </c>
      <c r="G29" s="44">
        <f>F29/$B$9</f>
        <v/>
      </c>
      <c r="H29" s="43">
        <f>H28+H21</f>
        <v/>
      </c>
      <c r="I29" s="44">
        <f>H29/$B$9</f>
        <v/>
      </c>
      <c r="J29" s="43">
        <f>J28+J21</f>
        <v/>
      </c>
      <c r="K29" s="44">
        <f>J29/$B$9</f>
        <v/>
      </c>
    </row>
    <row r="30">
      <c r="A30" t="inlineStr">
        <is>
          <t>+ PIS/COFINS (gross-up)</t>
        </is>
      </c>
      <c r="B30" s="24">
        <f>B29/(1-$B$11)</f>
        <v/>
      </c>
      <c r="C30" s="25">
        <f>B30/$B$9</f>
        <v/>
      </c>
      <c r="D30" s="4">
        <f>D29/(1-$B$11)</f>
        <v/>
      </c>
      <c r="E30" s="3">
        <f>D30/$B$9</f>
        <v/>
      </c>
      <c r="F30" s="4">
        <f>F29/(1-$B$11)</f>
        <v/>
      </c>
      <c r="G30" s="3">
        <f>F30/$B$9</f>
        <v/>
      </c>
      <c r="H30" s="4">
        <f>H29/(1-$B$11)</f>
        <v/>
      </c>
      <c r="I30" s="3">
        <f>H30/$B$9</f>
        <v/>
      </c>
      <c r="J30" s="4">
        <f>J29/(1-$B$11)</f>
        <v/>
      </c>
      <c r="K30" s="3">
        <f>J30/$B$9</f>
        <v/>
      </c>
    </row>
    <row r="31">
      <c r="A31" t="inlineStr">
        <is>
          <t>+ ICMS (gross-up)</t>
        </is>
      </c>
      <c r="B31" s="24">
        <f>B30/(1-$B$12)</f>
        <v/>
      </c>
      <c r="C31" s="25">
        <f>B31/$B$9</f>
        <v/>
      </c>
      <c r="D31" s="4">
        <f>D30/(1-$B$12)</f>
        <v/>
      </c>
      <c r="E31" s="3">
        <f>D31/$B$9</f>
        <v/>
      </c>
      <c r="F31" s="4">
        <f>F30/(1-$B$12)</f>
        <v/>
      </c>
      <c r="G31" s="3">
        <f>F31/$B$9</f>
        <v/>
      </c>
      <c r="H31" s="4">
        <f>H30/(1-$B$12)</f>
        <v/>
      </c>
      <c r="I31" s="3">
        <f>H31/$B$9</f>
        <v/>
      </c>
      <c r="J31" s="4">
        <f>J30/(1-$B$12)</f>
        <v/>
      </c>
      <c r="K31" s="3">
        <f>J31/$B$9</f>
        <v/>
      </c>
    </row>
    <row r="32">
      <c r="A32" t="inlineStr">
        <is>
          <t>+ IPI (on top)</t>
        </is>
      </c>
      <c r="B32" s="24">
        <f>B31*$B$13</f>
        <v/>
      </c>
      <c r="C32" s="25">
        <f>B32/$B$9</f>
        <v/>
      </c>
      <c r="D32" s="4">
        <f>D31*$B$13</f>
        <v/>
      </c>
      <c r="E32" s="3">
        <f>D32/$B$9</f>
        <v/>
      </c>
      <c r="F32" s="4">
        <f>F31*$B$13</f>
        <v/>
      </c>
      <c r="G32" s="3">
        <f>F32/$B$9</f>
        <v/>
      </c>
      <c r="H32" s="4">
        <f>H31*$B$13</f>
        <v/>
      </c>
      <c r="I32" s="3">
        <f>H32/$B$9</f>
        <v/>
      </c>
      <c r="J32" s="4">
        <f>J31*$B$13</f>
        <v/>
      </c>
      <c r="K32" s="3">
        <f>J32/$B$9</f>
        <v/>
      </c>
    </row>
    <row r="33">
      <c r="A33" s="36" t="inlineStr">
        <is>
          <t>FINAL CLIENT PRICE:</t>
        </is>
      </c>
      <c r="B33" s="41">
        <f>B31+B32</f>
        <v/>
      </c>
      <c r="C33" s="42">
        <f>B33/$B$9</f>
        <v/>
      </c>
      <c r="D33" s="43">
        <f>D31+D32</f>
        <v/>
      </c>
      <c r="E33" s="44">
        <f>D33/$B$9</f>
        <v/>
      </c>
      <c r="F33" s="43">
        <f>F31+F32</f>
        <v/>
      </c>
      <c r="G33" s="44">
        <f>F33/$B$9</f>
        <v/>
      </c>
      <c r="H33" s="43">
        <f>H31+H32</f>
        <v/>
      </c>
      <c r="I33" s="44">
        <f>H33/$B$9</f>
        <v/>
      </c>
      <c r="J33" s="43">
        <f>J31+J32</f>
        <v/>
      </c>
      <c r="K33" s="44">
        <f>J33/$B$9</f>
        <v/>
      </c>
    </row>
    <row r="36">
      <c r="A36" s="39" t="inlineStr">
        <is>
          <t>WHAT DRIVES THE FINAL CLIENT PRICE  (base case)</t>
        </is>
      </c>
    </row>
    <row r="37">
      <c r="A37" s="36" t="inlineStr">
        <is>
          <t>Removing ALL import duty (II) lowers the Final Client Price by</t>
        </is>
      </c>
      <c r="B37" s="45">
        <f>D33-F33</f>
        <v/>
      </c>
      <c r="C37" s="3">
        <f>B37/$B$9</f>
        <v/>
      </c>
    </row>
    <row r="38">
      <c r="A38" s="36" t="inlineStr">
        <is>
          <t>Local output taxes (PIS/COFINS + ICMS + IPI) add on top of Net Price</t>
        </is>
      </c>
      <c r="B38" s="45">
        <f>D33-D29</f>
        <v/>
      </c>
      <c r="C38" s="3">
        <f>B38/$B$9</f>
        <v/>
      </c>
    </row>
    <row r="39">
      <c r="A39" s="36" t="inlineStr">
        <is>
          <t>Local taxes are how many times bigger than the II effect?</t>
        </is>
      </c>
      <c r="B39" s="46">
        <f>B38/B37</f>
        <v/>
      </c>
    </row>
    <row r="40">
      <c r="A40" s="36" t="inlineStr">
        <is>
          <t>Final Client Price with NO II and 1 battery set, vs. US reference</t>
        </is>
      </c>
      <c r="B40" s="47">
        <f>J33/$B$9</f>
        <v/>
      </c>
      <c r="C40" s="17">
        <f>B40/$B$14-1</f>
        <v/>
      </c>
    </row>
    <row r="42">
      <c r="A42" s="35" t="inlineStr">
        <is>
          <t>- II (import duty) sits inside the cost, so it is multiplied by the margin (1/(1-TDM)) and then by the local tax cascade - removing it is worth about 2.7x its face value in the final price.</t>
        </is>
      </c>
    </row>
    <row r="43">
      <c r="A43" s="35" t="inlineStr">
        <is>
          <t>- Even so, the local output taxes (PIS/COFINS, ICMS, IPI) stack on the whole price and outweigh the II effect - that is the point of this tab.</t>
        </is>
      </c>
    </row>
    <row r="44">
      <c r="A44" s="35" t="inlineStr">
        <is>
          <t>- Battery sets: II, TP and freight of the batteries scale with the quantity; the row values come from the Final Cost List (84A222059P5, group without historical TP -&gt; 17.2%, no confirmed NCM -&gt; II 18%).</t>
        </is>
      </c>
    </row>
    <row r="46">
      <c r="A46" s="36" t="inlineStr">
        <is>
          <t>BASE VALUES (read from the P&amp;L tab)</t>
        </is>
      </c>
    </row>
    <row r="47" ht="48" customHeight="1" s="31">
      <c r="B47" s="48" t="inlineStr">
        <is>
          <t>Imported items, excluding batteries</t>
        </is>
      </c>
      <c r="C47" s="48" t="inlineStr">
        <is>
          <t>Batteries - value per set (current BOM has 2)</t>
        </is>
      </c>
    </row>
    <row r="48">
      <c r="A48" t="inlineStr">
        <is>
          <t>Raw cost - imported items</t>
        </is>
      </c>
      <c r="B48" s="4">
        <f>'Executive Summary (P&amp;L)'!B10-2*C48</f>
        <v/>
      </c>
      <c r="C48" s="4" t="n">
        <v>79995.64</v>
      </c>
    </row>
    <row r="49">
      <c r="A49" t="inlineStr">
        <is>
          <t>Raw cost - PAC items</t>
        </is>
      </c>
      <c r="B49" s="4">
        <f>'Executive Summary (P&amp;L)'!B11</f>
        <v/>
      </c>
      <c r="C49" s="4" t="n">
        <v>0</v>
      </c>
    </row>
    <row r="50">
      <c r="A50" t="inlineStr">
        <is>
          <t>TP - Transfer Price</t>
        </is>
      </c>
      <c r="B50" s="4">
        <f>'Executive Summary (P&amp;L)'!B12-2*C50</f>
        <v/>
      </c>
      <c r="C50" s="4" t="n">
        <v>13759.25</v>
      </c>
    </row>
    <row r="51">
      <c r="A51" t="inlineStr">
        <is>
          <t>International freight</t>
        </is>
      </c>
      <c r="B51" s="4">
        <f>'Executive Summary (P&amp;L)'!B13-2*C51</f>
        <v/>
      </c>
      <c r="C51" s="4" t="n">
        <v>1152.78</v>
      </c>
    </row>
    <row r="52">
      <c r="A52" t="inlineStr">
        <is>
          <t>II - Import duty</t>
        </is>
      </c>
      <c r="B52" s="4">
        <f>'Executive Summary (P&amp;L)'!B14-2*C52</f>
        <v/>
      </c>
      <c r="C52" s="4" t="n">
        <v>17083.38</v>
      </c>
    </row>
    <row r="53">
      <c r="A53" t="inlineStr">
        <is>
          <t>Domestic freight</t>
        </is>
      </c>
      <c r="B53" s="4">
        <f>'Executive Summary (P&amp;L)'!B15</f>
        <v/>
      </c>
      <c r="C53" s="4" t="n">
        <v>0</v>
      </c>
    </row>
    <row r="54">
      <c r="A54" t="inlineStr">
        <is>
          <t>Supermetal - refurbishment / integration</t>
        </is>
      </c>
      <c r="B54" s="4">
        <f>'Executive Summary (P&amp;L)'!B16</f>
        <v/>
      </c>
      <c r="C54" s="4" t="n">
        <v>0</v>
      </c>
    </row>
    <row r="58">
      <c r="A58" s="39" t="inlineStr">
        <is>
          <t>6) REFERENCE: FINISHED US UNIT IMPORTED AS-IS (buy the ready-built US$900k Pathfinder and land it in Brazil)</t>
        </is>
      </c>
    </row>
    <row r="59">
      <c r="A59" t="inlineStr">
        <is>
          <t>Exchange rate used for this reference (differs from the scenario FX above)</t>
        </is>
      </c>
      <c r="B59" s="49" t="n">
        <v>5.15</v>
      </c>
    </row>
    <row r="60">
      <c r="B60" s="52" t="inlineStr">
        <is>
          <t>BRL</t>
        </is>
      </c>
      <c r="C60" s="52" t="inlineStr">
        <is>
          <t>USD</t>
        </is>
      </c>
    </row>
    <row r="61">
      <c r="A61" t="inlineStr">
        <is>
          <t>US price (finished product, unchanged)</t>
        </is>
      </c>
      <c r="B61" s="4">
        <f>C61*$B$59</f>
        <v/>
      </c>
      <c r="C61" s="3" t="n">
        <v>899999.9999999999</v>
      </c>
    </row>
    <row r="62">
      <c r="A62" t="inlineStr">
        <is>
          <t>+ International freight + insurance</t>
        </is>
      </c>
      <c r="B62" s="4">
        <f>C62*$B$59</f>
        <v/>
      </c>
      <c r="C62" s="3" t="n">
        <v>80490</v>
      </c>
    </row>
    <row r="63">
      <c r="A63" t="inlineStr">
        <is>
          <t>+ Customs / import expenses</t>
        </is>
      </c>
      <c r="B63" s="4">
        <f>C63*$B$59</f>
        <v/>
      </c>
      <c r="C63" s="3" t="n">
        <v>16842.85660194175</v>
      </c>
    </row>
    <row r="64">
      <c r="A64" t="inlineStr">
        <is>
          <t>+ All import taxes (II, IPI, PIS/COFINS, ICMS)</t>
        </is>
      </c>
      <c r="B64" s="4">
        <f>C64*$B$59</f>
        <v/>
      </c>
      <c r="C64" s="3" t="n">
        <v>715697.9140243899</v>
      </c>
    </row>
    <row r="65">
      <c r="A65" s="36" t="inlineStr">
        <is>
          <t>LANDED IN BRAZIL:</t>
        </is>
      </c>
      <c r="B65" s="43">
        <f>C65*$B$59</f>
        <v/>
      </c>
      <c r="C65" s="44">
        <f>SUM(C61:C64)</f>
        <v/>
      </c>
    </row>
    <row r="67">
      <c r="A67" s="36" t="inlineStr">
        <is>
          <t>vs. each scenario's Final Client Price (positive = landed-finished-unit costs more)</t>
        </is>
      </c>
    </row>
    <row r="68">
      <c r="A68" t="inlineStr">
        <is>
          <t>Base (current)</t>
        </is>
      </c>
      <c r="B68" s="3">
        <f>C65-E33</f>
        <v/>
      </c>
    </row>
    <row r="69">
      <c r="A69" t="inlineStr">
        <is>
          <t>No import duty (II)</t>
        </is>
      </c>
      <c r="B69" s="3">
        <f>C65-G33</f>
        <v/>
      </c>
    </row>
    <row r="70">
      <c r="A70" t="inlineStr">
        <is>
          <t>1 battery set</t>
        </is>
      </c>
      <c r="B70" s="3">
        <f>C65-I33</f>
        <v/>
      </c>
    </row>
    <row r="71">
      <c r="A71" t="inlineStr">
        <is>
          <t>No II + 1 battery set</t>
        </is>
      </c>
      <c r="B71" s="3">
        <f>C65-K33</f>
        <v/>
      </c>
    </row>
    <row r="73" ht="60" customHeight="1" s="31">
      <c r="A73" s="51" t="inlineStr">
        <is>
          <t>- Source: read LIVE from 'Planilha de Custos de Importacao - Pathfinder completo- Set 26.xlsx', sheet 'Pathfinder Pronto' (cells H24, I22, I26, I27, I28, I35, I56). Different scope than the 4 scenarios above: this is a finished, already-built unit (no Wabtec Brasil margin, no TP, no Supermetal refurbishment - it's a straight import of a complete product), so it is not an apples-to-apples 5th column of the scenario table.</t>
        </is>
      </c>
    </row>
  </sheetData>
  <mergeCells count="4">
    <mergeCell ref="A42:H42"/>
    <mergeCell ref="A43:H43"/>
    <mergeCell ref="A73:H73"/>
    <mergeCell ref="A44:H44"/>
  </mergeCells>
  <dataValidations count="2">
    <dataValidation sqref="B5" showDropDown="0" showInputMessage="0" showErrorMessage="0" allowBlank="0" type="list">
      <formula1>"0,1"</formula1>
    </dataValidation>
    <dataValidation sqref="B6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2026-09-23T01:01:21Z</dcterms:created>
  <dcterms:modified xmlns:dcterms="http://purl.org/dc/terms/" xmlns:xsi="http://www.w3.org/2001/XMLSchema-instance" xsi:type="dcterms:W3CDTF">2026-09-29T19:45:51Z</dcterms:modified>
  <cp:lastModifiedBy>de Oliveira, Matheus</cp:lastModifiedBy>
</cp:coreProperties>
</file>

<file path=docProps/custom.xml><?xml version="1.0" encoding="utf-8"?>
<Properties xmlns="http://schemas.openxmlformats.org/officeDocument/2006/custom-properties">
  <property name="MSIP_Label_57903732-8a6f-4e0e-952b-fe0b250d49cc_Enabled" fmtid="{D5CDD505-2E9C-101B-9397-08002B2CF9AE}" pid="2">
    <vt:lpwstr xmlns:vt="http://schemas.openxmlformats.org/officeDocument/2006/docPropsVTypes">true</vt:lpwstr>
  </property>
  <property name="MSIP_Label_57903732-8a6f-4e0e-952b-fe0b250d49cc_SetDate" fmtid="{D5CDD505-2E9C-101B-9397-08002B2CF9AE}" pid="3">
    <vt:lpwstr xmlns:vt="http://schemas.openxmlformats.org/officeDocument/2006/docPropsVTypes">2026-09-28T14:47:30Z</vt:lpwstr>
  </property>
  <property name="MSIP_Label_57903732-8a6f-4e0e-952b-fe0b250d49cc_Method" fmtid="{D5CDD505-2E9C-101B-9397-08002B2CF9AE}" pid="4">
    <vt:lpwstr xmlns:vt="http://schemas.openxmlformats.org/officeDocument/2006/docPropsVTypes">Standard</vt:lpwstr>
  </property>
  <property name="MSIP_Label_57903732-8a6f-4e0e-952b-fe0b250d49cc_Name" fmtid="{D5CDD505-2E9C-101B-9397-08002B2CF9AE}" pid="5">
    <vt:lpwstr xmlns:vt="http://schemas.openxmlformats.org/officeDocument/2006/docPropsVTypes">1- General Business</vt:lpwstr>
  </property>
  <property name="MSIP_Label_57903732-8a6f-4e0e-952b-fe0b250d49cc_SiteId" fmtid="{D5CDD505-2E9C-101B-9397-08002B2CF9AE}" pid="6">
    <vt:lpwstr xmlns:vt="http://schemas.openxmlformats.org/officeDocument/2006/docPropsVTypes">90f1aac4-c661-46a9-83fd-e021705adcc9</vt:lpwstr>
  </property>
  <property name="MSIP_Label_57903732-8a6f-4e0e-952b-fe0b250d49cc_ActionId" fmtid="{D5CDD505-2E9C-101B-9397-08002B2CF9AE}" pid="7">
    <vt:lpwstr xmlns:vt="http://schemas.openxmlformats.org/officeDocument/2006/docPropsVTypes">be0575d8-b519-42e4-9707-4f2cacfa2f48</vt:lpwstr>
  </property>
  <property name="MSIP_Label_57903732-8a6f-4e0e-952b-fe0b250d49cc_ContentBits" fmtid="{D5CDD505-2E9C-101B-9397-08002B2CF9AE}" pid="8">
    <vt:lpwstr xmlns:vt="http://schemas.openxmlformats.org/officeDocument/2006/docPropsVTypes">1</vt:lpwstr>
  </property>
  <property name="MSIP_Label_57903732-8a6f-4e0e-952b-fe0b250d49cc_Tag" fmtid="{D5CDD505-2E9C-101B-9397-08002B2CF9AE}" pid="9">
    <vt:lpwstr xmlns:vt="http://schemas.openxmlformats.org/officeDocument/2006/docPropsVTypes">10, 3, 0, 1</vt:lpwstr>
  </property>
</Properties>
</file>