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 List" sheetId="1" state="visible" r:id="rId1"/>
    <sheet xmlns:r="http://schemas.openxmlformats.org/officeDocument/2006/relationships" name="Executive Summary (P&amp;L)" sheetId="2" state="visible" r:id="rId2"/>
    <sheet xmlns:r="http://schemas.openxmlformats.org/officeDocument/2006/relationships" name="Price Calc Detail" sheetId="3" state="visible" r:id="rId3"/>
  </sheets>
  <definedNames>
    <definedName name="_xlnm._FilterDatabase" localSheetId="0" hidden="1">'Item List'!$A$3:$M$165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ITEM LIST - MRS Pathfinder GDT Cost Proposal</t>
        </is>
      </c>
    </row>
    <row r="3">
      <c r="A3" s="2" t="inlineStr">
        <is>
          <t>Part Number</t>
        </is>
      </c>
      <c r="B3" s="2" t="inlineStr">
        <is>
          <t>Description</t>
        </is>
      </c>
      <c r="C3" s="2" t="inlineStr">
        <is>
          <t>System</t>
        </is>
      </c>
      <c r="D3" s="2" t="inlineStr">
        <is>
          <t>SubSystem</t>
        </is>
      </c>
      <c r="E3" s="2" t="inlineStr">
        <is>
          <t>Quantity</t>
        </is>
      </c>
      <c r="F3" s="2" t="inlineStr">
        <is>
          <t>Cost Source</t>
        </is>
      </c>
      <c r="G3" s="2" t="inlineStr">
        <is>
          <t>Unit Cost USD (Imported items, no markup)</t>
        </is>
      </c>
      <c r="H3" s="2" t="inlineStr">
        <is>
          <t>Unit Cost BRL (PAC items, local nationalized cost)</t>
        </is>
      </c>
      <c r="I3" s="2" t="inlineStr">
        <is>
          <t>Weight (kg)</t>
        </is>
      </c>
      <c r="J3" s="2" t="inlineStr">
        <is>
          <t>Weight Confidence</t>
        </is>
      </c>
      <c r="K3" s="2" t="inlineStr">
        <is>
          <t>NCM</t>
        </is>
      </c>
      <c r="L3" s="2" t="inlineStr">
        <is>
          <t>Dimensions (L x H x W, in)</t>
        </is>
      </c>
      <c r="M3" s="2" t="inlineStr">
        <is>
          <t>Notes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Imported (USA)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Imported (USA)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Imported (USA)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Imported (USA)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Imported (USA)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Imported (USA)</t>
        </is>
      </c>
      <c r="G9" s="3" t="n">
        <v>20000</v>
      </c>
      <c r="H9" s="4" t="n"/>
      <c r="I9" s="5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Imported (USA)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Imported (USA)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Imported (USA)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(Brazil, nationalized)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(made in-house)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Imported (USA)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Imported (USA)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Imported (USA)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Imported (USA)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(Brazil, nationalized)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(made in-house)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Imported (USA)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Imported (USA)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Imported (USA)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(Brazil, nationalized)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(Brazil, nationalized)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(Brazil, nationalized)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(Brazil, nationalized)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Imported (USA)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(made in-house)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(Brazil, nationalized)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Weight looks wrong, verify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Imported (USA)</t>
        </is>
      </c>
      <c r="G31" s="3" t="n">
        <v>761</v>
      </c>
      <c r="H31" s="4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(made in-house)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Imported (USA)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(Brazil, nationalized)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Imported (USA)</t>
        </is>
      </c>
      <c r="G35" s="3" t="n">
        <v>411.22</v>
      </c>
      <c r="H35" s="4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Imported (USA)</t>
        </is>
      </c>
      <c r="G36" s="3" t="n">
        <v>404.6239</v>
      </c>
      <c r="H36" s="4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(Brazil, nationalized)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(Brazil, nationalized)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(Brazil, nationalized)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(Brazil, nationalized)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(Brazil, nationalized)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(Brazil, nationalized)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Imported (USA)</t>
        </is>
      </c>
      <c r="G43" s="3" t="n">
        <v>205</v>
      </c>
      <c r="H43" s="4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Imported (USA)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Imported (USA)</t>
        </is>
      </c>
      <c r="G45" s="3" t="n">
        <v>171.544</v>
      </c>
      <c r="H45" s="4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Imported (USA)</t>
        </is>
      </c>
      <c r="G46" s="3" t="n">
        <v>159</v>
      </c>
      <c r="H46" s="4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(Brazil, nationalized)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(Brazil, nationalized)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(Brazil, nationalized)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(Brazil, nationalized)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(Brazil, nationalized)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(Brazil, nationalized)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(Brazil, nationalized)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(Brazil, nationalized)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(Brazil, nationalized)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(Brazil, nationalized)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(Brazil, nationalized)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Imported (USA)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(Brazil, nationalized)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(Brazil, nationalized)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(Brazil, nationalized)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(Brazil, nationalized)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(Brazil, nationalized)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Imported (USA)</t>
        </is>
      </c>
      <c r="G64" s="3" t="n">
        <v>79.83</v>
      </c>
      <c r="H64" s="4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(Brazil, nationalized)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Imported (USA)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Imported (USA)</t>
        </is>
      </c>
      <c r="G67" s="3" t="n">
        <v>72.41</v>
      </c>
      <c r="H67" s="4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Imported (USA)</t>
        </is>
      </c>
      <c r="G68" s="3" t="n">
        <v>71.94</v>
      </c>
      <c r="H68" s="4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Imported (USA)</t>
        </is>
      </c>
      <c r="G69" s="3" t="n">
        <v>71.94</v>
      </c>
      <c r="H69" s="4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Imported (USA)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(Brazil, nationalized)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(Brazil, nationalized)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(Brazil, nationalized)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Imported (USA)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Imported (USA)</t>
        </is>
      </c>
      <c r="G75" s="3" t="n">
        <v>59.75</v>
      </c>
      <c r="H75" s="4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Imported (USA)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Imported (USA)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(Brazil, nationalized)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Imported (USA)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(Brazil, nationalized)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Imported (USA)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(Brazil, nationalized)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(Brazil, nationalized)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(Brazil, nationalized)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(Brazil, nationalized)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(Brazil, nationalized)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(Brazil, nationalized)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(Brazil, nationalized)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Imported (USA)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Imported (USA)</t>
        </is>
      </c>
      <c r="G90" s="3" t="n">
        <v>45.7356</v>
      </c>
      <c r="H90" s="4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(Brazil, nationalized)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(Brazil, nationalized)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(Brazil, nationalized)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(Brazil, nationalized)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(Brazil, nationalized)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(Brazil, nationalized)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(Brazil, nationalized)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Imported (USA)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(Brazil, nationalized)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(Brazil, nationalized)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(Brazil, nationalized)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(Brazil, nationalized)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(Brazil, nationalized)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(Brazil, nationalized)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(Brazil, nationalized)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(Brazil, nationalized)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(Brazil, nationalized)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(Brazil, nationalized)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(Brazil, nationalized)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(Brazil, nationalized)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Imported (USA)</t>
        </is>
      </c>
      <c r="G111" s="3" t="n">
        <v>13.66</v>
      </c>
      <c r="H111" s="4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(Brazil, nationalized)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(Brazil, nationalized)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(Brazil, nationalized)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(Brazil, nationalized)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(Brazil, nationalized)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(Brazil, nationalized)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(Brazil, nationalized)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(Brazil, nationalized)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(Brazil, nationalized)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(Brazil, nationalized)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(Brazil, nationalized)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(Brazil, nationalized)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(Brazil, nationalized)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(Brazil, nationalized)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(Brazil, nationalized)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Imported (USA)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(Brazil, nationalized)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(Brazil, nationalized)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(Brazil, nationalized)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(Brazil, nationalized)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(Brazil, nationalized)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(Brazil, nationalized)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(Brazil, nationalized)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(Brazil, nationalized)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(Brazil, nationalized)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(Brazil, nationalized)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(Brazil, nationalized)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Imported (USA)</t>
        </is>
      </c>
      <c r="G139" s="3" t="n">
        <v>0.01</v>
      </c>
      <c r="H139" s="4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Imported (USA)</t>
        </is>
      </c>
      <c r="G140" s="3" t="n">
        <v>0.01</v>
      </c>
      <c r="H140" s="4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Included / no separate cost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MISSING - no quote yet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MISSING - no quote yet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MISSING - no quote yet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MISSING - no quote yet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MISSING - no quote yet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MISSING - no quote yet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MISSING - no quote yet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MISSING - no quote yet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MISSING - no quote yet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MISSING - no quote yet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MISSING - no quote yet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MISSING - no quote yet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MISSING - no quote yet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MISSING - no quote yet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MISSING - no quote yet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MISSING - no quote yet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MISSING - no quote yet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MISSING - no quote yet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MISSING - no quote yet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MISSING - no quote yet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MISSING - no quote yet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MISSING - no quote yet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MISSING - no quote yet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MISSING - no quote yet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REAL PRICE (Material Pricing / Approval Summary methodology)</t>
        </is>
      </c>
    </row>
    <row r="3">
      <c r="A3" t="inlineStr">
        <is>
          <t>Exchange Rate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editable. Automatically updates Net Price and Client Price below.</t>
        </is>
      </c>
    </row>
    <row r="5">
      <c r="A5" t="inlineStr">
        <is>
          <t>PIS/COFINS (blended, real NCM where available):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real NCM where available):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COST (Raw Cost + TP + Freight + Import Duty)</t>
        </is>
      </c>
    </row>
    <row r="10">
      <c r="A10" t="inlineStr">
        <is>
          <t>Raw Cost - Imported Items (BOM USD x Qty x FX)</t>
        </is>
      </c>
      <c r="B10" s="4" t="n">
        <v>1346980.92</v>
      </c>
      <c r="C10" s="3">
        <f>B10/$B$3</f>
        <v/>
      </c>
    </row>
    <row r="11">
      <c r="A11" t="inlineStr">
        <is>
          <t>Raw Cost - PAC Items (already nationalized, all-in local cost)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(13%/17.2% per item group; this is WBT USA's own margin)</t>
        </is>
      </c>
      <c r="B12" s="4" t="n">
        <v>198163.69</v>
      </c>
      <c r="C12" s="3">
        <f>B12/$B$3</f>
        <v/>
      </c>
    </row>
    <row r="13">
      <c r="A13" t="inlineStr">
        <is>
          <t>International Freight (real, China Gate quote, 1.23%)</t>
        </is>
      </c>
      <c r="B13" s="4" t="n">
        <v>18998.55</v>
      </c>
      <c r="C13" s="3">
        <f>B13/$B$3</f>
        <v/>
      </c>
    </row>
    <row r="14">
      <c r="A14" t="inlineStr">
        <is>
          <t>II - Import Duty (blended 17.96%, real NCM where available)</t>
        </is>
      </c>
      <c r="B14" s="4" t="n">
        <v>280915.82</v>
      </c>
      <c r="C14" s="3">
        <f>B14/$B$3</f>
        <v/>
      </c>
    </row>
    <row r="15">
      <c r="A15" t="inlineStr">
        <is>
          <t>Domestic Freight (real, China Gate quote,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(railcar modification, direct cost)</t>
        </is>
      </c>
      <c r="B16" s="4" t="n">
        <v>707790.6</v>
      </c>
      <c r="C16" s="3">
        <f>B16/$B$3</f>
        <v/>
      </c>
    </row>
    <row r="17">
      <c r="A17" s="12" t="inlineStr">
        <is>
          <t>FINAL COST (with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MARGIN (TDM applied on cost WITHOUT TP; TP is added back afterwards with no markup)</t>
        </is>
      </c>
    </row>
    <row r="20">
      <c r="A20" t="inlineStr">
        <is>
          <t>Base for margin (Final Cost - TP)</t>
        </is>
      </c>
      <c r="B20" s="4">
        <f>B17-B12</f>
        <v/>
      </c>
      <c r="C20" s="3">
        <f>B20/$B$3</f>
        <v/>
      </c>
    </row>
    <row r="21">
      <c r="A21" t="inlineStr">
        <is>
          <t>Net Price w/o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NET PRICE ('OUR PRICE' - cost + margin, before pass-through taxes):</t>
        </is>
      </c>
      <c r="B22" s="13">
        <f>B21+B12</f>
        <v/>
      </c>
      <c r="C22" s="14">
        <f>B22/$B$3</f>
        <v/>
      </c>
    </row>
    <row r="24">
      <c r="A24" s="11" t="inlineStr">
        <is>
          <t>3) PASS-THROUGH TAXES (do not affect our margin - the client pays, client can credit part of it)</t>
        </is>
      </c>
    </row>
    <row r="25">
      <c r="A25" t="inlineStr">
        <is>
          <t>+ PIS/COFINS (gross-up, tax-inclusive)</t>
        </is>
      </c>
      <c r="B25" s="4">
        <f>B22/(1-$B$5)</f>
        <v/>
      </c>
      <c r="C25" s="3">
        <f>B25/$B$3</f>
        <v/>
      </c>
    </row>
    <row r="26">
      <c r="A26" t="inlineStr">
        <is>
          <t>+ ICMS (gross-up, tax-inclusive, stacked on top of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(added on top, % of the value already including ICMS)</t>
        </is>
      </c>
      <c r="B27" s="4">
        <f>B26*$B$7</f>
        <v/>
      </c>
      <c r="C27" s="3">
        <f>B27/$B$3</f>
        <v/>
      </c>
    </row>
    <row r="28">
      <c r="A28" s="12" t="inlineStr">
        <is>
          <t>FINAL CLIENT PRICE (all taxes included):</t>
        </is>
      </c>
      <c r="B28" s="13">
        <f>B26+B27</f>
        <v/>
      </c>
      <c r="C28" s="14">
        <f>B28/$B$3</f>
        <v/>
      </c>
    </row>
    <row r="30">
      <c r="A30" s="10" t="inlineStr">
        <is>
          <t>Notes / Assumptions:</t>
        </is>
      </c>
    </row>
    <row r="31">
      <c r="A31" s="8" t="inlineStr">
        <is>
          <t>- Methodology: 'Material Pricing' + 'Approval Summary' tabs of Material Pricing.xlsm (P&amp;L Old was discarded - its formulas are broken / #REF!).</t>
        </is>
      </c>
    </row>
    <row r="32">
      <c r="A32" s="8" t="inlineStr">
        <is>
          <t>- TP is treated as WBT USA's own margin (GM WBT USA); it feeds the cost base but is excluded from WBT Brazil's own margin base (TDM = (TP + GM BRZ) / Net Price).</t>
        </is>
      </c>
    </row>
    <row r="33">
      <c r="A33" s="8" t="inlineStr">
        <is>
          <t>- International and Domestic Freight: real values from the China Gate import cost quote (Planilha de Custos de Importacao - Pathfinder - Set 26.xlsx), not the old 9%/3% assumptions.</t>
        </is>
      </c>
    </row>
    <row r="34">
      <c r="A34" s="8" t="inlineStr">
        <is>
          <t>- II/IPI/PIS-COFINS: real per-NCM rate (Material Pricing's 'II' tab) for the 6 priced imported items with a confirmed NCM; worst-case flat rate (our old blended assumption) for the other 41 without one.</t>
        </is>
      </c>
    </row>
    <row r="35">
      <c r="A35" s="8" t="inlineStr">
        <is>
          <t>- ICMS: flat 18% (same value used in Material Pricing's own real example).</t>
        </is>
      </c>
    </row>
    <row r="36">
      <c r="A36" s="8" t="inlineStr">
        <is>
          <t>- 88 PAC items are summed as a single block (already an all-in local cost, not decomposed into TP/freight/duty).</t>
        </is>
      </c>
    </row>
    <row r="37">
      <c r="A37" s="8" t="inlineStr">
        <is>
      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      </is>
      </c>
    </row>
    <row r="38">
      <c r="A38" s="8" t="inlineStr">
        <is>
          <t>- 27 items still without a cost quote (Missing) are NOT included in this total - see the Item List tab (Cost Source = MISSING).</t>
        </is>
      </c>
    </row>
    <row r="39">
      <c r="A39" s="8" t="inlineStr">
        <is>
          <t>- QQP (service taxes) and ISS (tax on the GDT integration/labor rollup) were disregarded for now, as requested.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1" t="inlineStr">
        <is>
          <t>PRICE CALCULATION DETAIL - source and formula for every number</t>
        </is>
      </c>
    </row>
    <row r="2">
      <c r="A2" s="8" t="inlineStr">
        <is>
          <t>Use this tab to answer 'why is this number X' - every line cites its source.</t>
        </is>
      </c>
    </row>
    <row r="4">
      <c r="A4" s="12" t="inlineStr">
        <is>
          <t>0) REALITY CHECK vs. US domestic price</t>
        </is>
      </c>
    </row>
    <row r="5">
      <c r="A5" t="inlineStr">
        <is>
          <t>US Domestic Reference Price (input - type the real one here):</t>
        </is>
      </c>
      <c r="B5" s="15" t="n">
        <v>900000</v>
      </c>
    </row>
    <row r="6">
      <c r="A6" t="inlineStr">
        <is>
          <t>Our Price (Net - cost + margin, before Brazilian pass-through taxes):</t>
        </is>
      </c>
      <c r="B6" s="16" t="n">
        <v>945272.4347593583</v>
      </c>
      <c r="C6" s="8" t="inlineStr">
        <is>
          <t>&lt;- this is the number that is actually comparable to a US domestic sale (no BR import/consumption tax).</t>
        </is>
      </c>
    </row>
    <row r="7">
      <c r="A7" t="inlineStr">
        <is>
          <t>Final Client Price (with all Brazilian taxes):</t>
        </is>
      </c>
      <c r="B7" s="16" t="n">
        <v>1405909.269713061</v>
      </c>
    </row>
    <row r="8">
      <c r="A8" t="inlineStr">
        <is>
          <t>Gap vs. US reference (Net Price):</t>
        </is>
      </c>
      <c r="B8" s="3">
        <f>B6-B5</f>
        <v/>
      </c>
      <c r="C8" s="17">
        <f>B8/B5</f>
        <v/>
      </c>
    </row>
    <row r="9">
      <c r="A9" t="inlineStr">
        <is>
          <t>Gap vs. US reference (Final Client Price):</t>
        </is>
      </c>
      <c r="B9" s="3">
        <f>B7-B5</f>
        <v/>
      </c>
      <c r="C9" s="17">
        <f>B9/B5</f>
        <v/>
      </c>
    </row>
    <row r="10">
      <c r="A10" s="8" t="inlineStr">
        <is>
          <t>KEY POINT: our Net Price is close to the US reference price - the big jump to the Final Client Price comes entirely from Brazilian</t>
        </is>
      </c>
    </row>
    <row r="11">
      <c r="A11" s="8" t="inlineStr">
        <is>
          <t>import duty (II) and consumption taxes (IPI/PIS/COFINS/ICMS), which do not exist in a US domestic sale and would apply just the</t>
        </is>
      </c>
    </row>
    <row r="12">
      <c r="A12" s="8" t="inlineStr">
        <is>
          <t>same whether we import components or a finished, ready-built railcar (a finished vehicle may in fact face a higher/different II bracket -</t>
        </is>
      </c>
    </row>
    <row r="13">
      <c r="A13" s="8" t="inlineStr">
        <is>
          <t>worth confirming with an auto/rail import specialist before assuming 'buy it finished' avoids this tax cascade).</t>
        </is>
      </c>
    </row>
    <row r="15">
      <c r="A15" s="11" t="inlineStr">
        <is>
          <t>1) FULL WATERFALL (matches the 'Executive Summary (P&amp;L)' tab, expanded with sources)</t>
        </is>
      </c>
    </row>
    <row r="16">
      <c r="A16" s="2" t="inlineStr">
        <is>
          <t>Step</t>
        </is>
      </c>
      <c r="B16" s="2" t="inlineStr">
        <is>
          <t>Formula / Logic</t>
        </is>
      </c>
      <c r="C16" s="2" t="inlineStr">
        <is>
          <t>BRL</t>
        </is>
      </c>
      <c r="D16" s="2" t="inlineStr">
        <is>
          <t>USD</t>
        </is>
      </c>
      <c r="E16" s="2" t="inlineStr">
        <is>
          <t>Cumulative Multiplier</t>
        </is>
      </c>
      <c r="F16" s="2" t="inlineStr">
        <is>
          <t>Source / Justification</t>
        </is>
      </c>
    </row>
    <row r="17">
      <c r="A17" t="inlineStr">
        <is>
          <t>Raw Cost - Imported Items</t>
        </is>
      </c>
      <c r="B17" s="18" t="inlineStr">
        <is>
          <t>BOM USD unit x Qty x FX rate, summed over 47 priced imported items</t>
        </is>
      </c>
      <c r="C17" s="4" t="n">
        <v>1346980.92</v>
      </c>
      <c r="D17" s="3" t="n">
        <v>264113.905882353</v>
      </c>
      <c r="E17" t="inlineStr">
        <is>
          <t>1.00x</t>
        </is>
      </c>
      <c r="F17" s="18" t="inlineStr">
        <is>
          <t>Final Cost List tab, column F (BOM Price USD Unit) x column E (Quantity), FX from Material Pricing.xlsm 'RATES' tab</t>
        </is>
      </c>
    </row>
    <row r="18">
      <c r="A18" t="inlineStr">
        <is>
          <t>Raw Cost - PAC Items</t>
        </is>
      </c>
      <c r="B18" s="18" t="inlineStr">
        <is>
          <t>Sum of PAC unit cost (BRL) x Qty over 88 PAC-sourced items</t>
        </is>
      </c>
      <c r="C18" s="4" t="n">
        <v>166060.16</v>
      </c>
      <c r="D18" s="3" t="n">
        <v>32560.81568627451</v>
      </c>
      <c r="E18" t="inlineStr">
        <is>
          <t>9.11x</t>
        </is>
      </c>
      <c r="F18" s="18" t="inlineStr">
        <is>
          <t>7-PAC Item Costs.xlsx 'aco_cost' field per item, already a fully-loaded local manufacturing cost (materials+labor+overhead)</t>
        </is>
      </c>
    </row>
    <row r="19">
      <c r="A19" t="inlineStr">
        <is>
          <t>TP - Transfer Price</t>
        </is>
      </c>
      <c r="B19" s="18" t="inlineStr">
        <is>
          <t>13% on items that already carried some TP historically; 17.2% on items that had none</t>
        </is>
      </c>
      <c r="C19" s="4" t="n">
        <v>198163.69</v>
      </c>
      <c r="D19" s="3" t="n">
        <v>38855.62549019608</v>
      </c>
      <c r="E19" t="inlineStr">
        <is>
          <t>8.64x</t>
        </is>
      </c>
      <c r="F19" s="18" t="inlineStr">
        <is>
          <t>Matheus's directive this session; 17.2%/0% split originally sourced from the color-coded review copy (yellow/green)</t>
        </is>
      </c>
    </row>
    <row r="20">
      <c r="A20" t="inlineStr">
        <is>
          <t>International Freight</t>
        </is>
      </c>
      <c r="B20" s="18" t="inlineStr">
        <is>
          <t>1.2295642% of (Raw Cost + TP)</t>
        </is>
      </c>
      <c r="C20" s="4" t="n">
        <v>18998.55</v>
      </c>
      <c r="D20" s="3" t="n">
        <v>3725.205882352941</v>
      </c>
      <c r="E20" t="inlineStr">
        <is>
          <t>91.07x</t>
        </is>
      </c>
      <c r="F20" s="18" t="inlineStr">
        <is>
          <t>'Planilha de Custos de Importacao - Pathfinder - Set 26.xlsx' (China Gate customs broker quote), Frete+Seguro / Product Value</t>
        </is>
      </c>
    </row>
    <row r="21">
      <c r="A21" t="inlineStr">
        <is>
          <t>II - Import Duty</t>
        </is>
      </c>
      <c r="B21" s="18" t="inlineStr">
        <is>
          <t>Blended 17.96% on (Raw Cost+TP+Freight): real per-NCM rate for the 6 items with a confirmed NCM, worst-case 18% flat for the other 41</t>
        </is>
      </c>
      <c r="C21" s="4" t="n">
        <v>280915.82</v>
      </c>
      <c r="D21" s="3" t="n">
        <v>55081.53333333334</v>
      </c>
      <c r="E21" t="inlineStr">
        <is>
          <t>7.16x</t>
        </is>
      </c>
      <c r="F21" s="18" t="inlineStr">
        <is>
          <t>Material Pricing.xlsm 'II' tab (real NCM lookup) + our prior flat assumption as fallback</t>
        </is>
      </c>
    </row>
    <row r="22">
      <c r="A22" t="inlineStr">
        <is>
          <t>Domestic Freight</t>
        </is>
      </c>
      <c r="B22" s="18" t="inlineStr">
        <is>
          <t>Real flat quote for the whole shipment (Santos -&gt; Betim/Contagem, MG)</t>
        </is>
      </c>
      <c r="C22" s="4" t="n">
        <v>21753.1</v>
      </c>
      <c r="D22" s="3" t="n">
        <v>4265.313725490196</v>
      </c>
      <c r="E22" t="inlineStr">
        <is>
          <t>93.45x</t>
        </is>
      </c>
      <c r="F22" s="18" t="inlineStr">
        <is>
          <t>China Gate quote 'Despesas de Importacao' tab: Siscomex, despachante, armazenagem, road transport, Marinha Mercante, etc.</t>
        </is>
      </c>
    </row>
    <row r="23">
      <c r="A23" t="inlineStr">
        <is>
          <t>Supermetal - GDT Integration/Assembly</t>
        </is>
      </c>
      <c r="B23" s="18" t="inlineStr">
        <is>
          <t>Direct cost: railcar refurbishment (lid, door, ladder, harnesses, battery skid, Fastbrake piping, AC, ballast)</t>
        </is>
      </c>
      <c r="C23" s="4" t="n">
        <v>707790.6</v>
      </c>
      <c r="D23" s="3" t="n">
        <v>138782.4705882353</v>
      </c>
      <c r="E23" t="inlineStr">
        <is>
          <t>3.87x</t>
        </is>
      </c>
      <c r="F23" s="18" t="inlineStr">
        <is>
          <t>'GDT Integration and Assembly' tab, sum of Direct Cost BRL column (18 line items)</t>
        </is>
      </c>
    </row>
    <row r="24">
      <c r="A24" s="12" t="inlineStr">
        <is>
          <t>FINAL COST (with TP):</t>
        </is>
      </c>
      <c r="C24" s="13" t="n">
        <v>2740662.84</v>
      </c>
      <c r="D24" s="14" t="n">
        <v>537384.8705882353</v>
      </c>
    </row>
    <row r="26">
      <c r="A26" s="11" t="inlineStr">
        <is>
          <t>2) MARGIN</t>
        </is>
      </c>
    </row>
    <row r="27">
      <c r="A27" t="inlineStr">
        <is>
          <t>Base for margin</t>
        </is>
      </c>
      <c r="B27" s="18" t="inlineStr">
        <is>
          <t>Final Cost - TP (TP is excluded from our own margin base - it's WBT USA's margin, not ours)</t>
        </is>
      </c>
      <c r="F27" s="18" t="inlineStr">
        <is>
          <t>Approval Summary tab of Material Pricing.xlsm: TDM = (TP + GM_BRZ) / Net Price. Algebraically this is equivalent to computing margin on (cost - TP) and adding TP back after, which is what this line does.</t>
        </is>
      </c>
    </row>
    <row r="28">
      <c r="A28" t="inlineStr">
        <is>
          <t>Target margin (TDM)</t>
        </is>
      </c>
      <c r="B28" s="18" t="inlineStr">
        <is>
          <t>Editable - see the Executive Summary (P&amp;L) tab cell B4</t>
        </is>
      </c>
      <c r="F28" s="18" t="inlineStr">
        <is>
          <t>Matheus's target for this exercise: 45%</t>
        </is>
      </c>
    </row>
    <row r="29">
      <c r="A29" s="12" t="inlineStr">
        <is>
          <t>NET PRICE ('OUR PRICE'):</t>
        </is>
      </c>
      <c r="C29" s="13" t="n">
        <v>4820889.417272727</v>
      </c>
      <c r="D29" s="14" t="n">
        <v>945272.4347593583</v>
      </c>
      <c r="E29" t="inlineStr">
        <is>
          <t>1.759x</t>
        </is>
      </c>
    </row>
    <row r="31">
      <c r="A31" s="11" t="inlineStr">
        <is>
          <t>3) PASS-THROUGH TAXES (client pays; do not affect our margin)</t>
        </is>
      </c>
    </row>
    <row r="32">
      <c r="A32" t="inlineStr">
        <is>
          <t>PIS/COFINS</t>
        </is>
      </c>
      <c r="B32" s="18" t="inlineStr">
        <is>
          <t>Net Price / (1 - 10.06%) - gross-up, blended real-NCM rate</t>
        </is>
      </c>
      <c r="F32" s="18" t="inlineStr">
        <is>
          <t>Material Pricing.xlsm 'II' tab (real per-NCM PIS+COFINS) for known items, worst-case 9.25% for the rest</t>
        </is>
      </c>
    </row>
    <row r="33">
      <c r="A33" t="inlineStr">
        <is>
          <t>ICMS</t>
        </is>
      </c>
      <c r="B33" s="18" t="inlineStr">
        <is>
          <t>Previous subtotal / (1 - 18%) - gross-up, stacked on top of PIS/COFINS</t>
        </is>
      </c>
      <c r="F33" s="18" t="inlineStr">
        <is>
          <t>Flat 18%, matches Material Pricing's own worked example. NOT yet validated against the client's specific destination-state ICMS rate (Tabela ICMS / Aliquotas Basicas tabs have the real origin-destination matrix if needed).</t>
        </is>
      </c>
    </row>
    <row r="34">
      <c r="A34" t="inlineStr">
        <is>
          <t>IPI</t>
        </is>
      </c>
      <c r="B34" s="18" t="inlineStr">
        <is>
          <t>Previous subtotal x blended IPI% - added on top, not a gross-up</t>
        </is>
      </c>
      <c r="F34" s="18" t="inlineStr">
        <is>
          <t>Material Pricing.xlsm 'II' tab (real per-NCM IPI) for known items, worst-case 9.75% for the rest</t>
        </is>
      </c>
    </row>
    <row r="35">
      <c r="A35" s="12" t="inlineStr">
        <is>
          <t>FINAL CLIENT PRICE:</t>
        </is>
      </c>
      <c r="C35" s="13" t="n">
        <v>7170137.27553661</v>
      </c>
      <c r="D35" s="14" t="n">
        <v>1405909.269713061</v>
      </c>
      <c r="E35" t="inlineStr">
        <is>
          <t>2.616x</t>
        </is>
      </c>
    </row>
    <row r="37">
      <c r="A37" s="11" t="inlineStr">
        <is>
          <t>4) ASSUMPTIONS REGISTER (challenge a specific input here, not the whole number)</t>
        </is>
      </c>
    </row>
    <row r="38">
      <c r="A38" s="2" t="inlineStr">
        <is>
          <t>Assumption</t>
        </is>
      </c>
      <c r="B38" s="2" t="inlineStr">
        <is>
          <t>Value Used</t>
        </is>
      </c>
      <c r="C38" s="2" t="inlineStr">
        <is>
          <t>Confidence</t>
        </is>
      </c>
      <c r="D38" s="2" t="inlineStr">
        <is>
          <t>Where it could be wrong</t>
        </is>
      </c>
    </row>
    <row r="39">
      <c r="A39" t="inlineStr">
        <is>
          <t>Exchange Rate</t>
        </is>
      </c>
      <c r="B39" t="inlineStr">
        <is>
          <t>5.10 BRL/USD</t>
        </is>
      </c>
      <c r="C39" t="inlineStr">
        <is>
          <t>Medium</t>
        </is>
      </c>
      <c r="D39" s="18" t="inlineStr">
        <is>
          <t>Fixed snapshot from Material Pricing.xlsm; will drift with the real FX on invoice date</t>
        </is>
      </c>
    </row>
    <row r="40">
      <c r="A40" t="inlineStr">
        <is>
          <t>TP rate split</t>
        </is>
      </c>
      <c r="B40" t="inlineStr">
        <is>
          <t>13% / 17.2%</t>
        </is>
      </c>
      <c r="C40" t="inlineStr">
        <is>
          <t>Low-Medium</t>
        </is>
      </c>
      <c r="D40" s="18" t="inlineStr">
        <is>
          <t>Arbitrary split chosen this session, not from an official WBT transfer pricing policy document</t>
        </is>
      </c>
    </row>
    <row r="41">
      <c r="A41" t="inlineStr">
        <is>
          <t>International Freight</t>
        </is>
      </c>
      <c r="B41" t="inlineStr">
        <is>
          <t>1.23% of value</t>
        </is>
      </c>
      <c r="C41" t="inlineStr">
        <is>
          <t>High</t>
        </is>
      </c>
      <c r="D41" s="18" t="inlineStr">
        <is>
          <t>Real broker quote, but only a simulation per the quote's own disclaimer - confirm with actual booking</t>
        </is>
      </c>
    </row>
    <row r="42">
      <c r="A42" t="inlineStr">
        <is>
          <t>Domestic Freight</t>
        </is>
      </c>
      <c r="B42" t="inlineStr">
        <is>
          <t>R$21,753.10 flat</t>
        </is>
      </c>
      <c r="C42" t="inlineStr">
        <is>
          <t>High</t>
        </is>
      </c>
      <c r="D42" s="18" t="inlineStr">
        <is>
          <t>Real broker quote for Santos-&gt;Betim/Contagem specifically; changes if origin/destination changes</t>
        </is>
      </c>
    </row>
    <row r="43">
      <c r="A43" t="inlineStr">
        <is>
          <t>II (Import Duty)</t>
        </is>
      </c>
      <c r="B43" t="inlineStr">
        <is>
          <t>17.96% blended (6 of 47 imported items on real NCM)</t>
        </is>
      </c>
      <c r="C43" t="inlineStr">
        <is>
          <t>Medium</t>
        </is>
      </c>
      <c r="D43" s="18" t="inlineStr">
        <is>
          <t>41 of 47 imported items still use the worst-case 18% default - no NCM confirmed for them yet</t>
        </is>
      </c>
    </row>
    <row r="44">
      <c r="A44" t="inlineStr">
        <is>
          <t>PIS/COFINS</t>
        </is>
      </c>
      <c r="B44" t="inlineStr">
        <is>
          <t>10.06% blended</t>
        </is>
      </c>
      <c r="C44" t="inlineStr">
        <is>
          <t>Medium</t>
        </is>
      </c>
      <c r="D44" s="18" t="inlineStr">
        <is>
          <t>Same NCM-coverage gap as II</t>
        </is>
      </c>
    </row>
    <row r="45">
      <c r="A45" t="inlineStr">
        <is>
          <t>IPI</t>
        </is>
      </c>
      <c r="B45" t="inlineStr">
        <is>
          <t>9.69% blended</t>
        </is>
      </c>
      <c r="C45" t="inlineStr">
        <is>
          <t>Medium</t>
        </is>
      </c>
      <c r="D45" s="18" t="inlineStr">
        <is>
          <t>Same NCM-coverage gap as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Low-Medium</t>
        </is>
      </c>
      <c r="D46" s="18" t="inlineStr">
        <is>
          <t>Not looked up per origin-destination UF pair; real rate could be lower (interstate) or have RBC reduction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business decision</t>
        </is>
      </c>
      <c r="D47" s="18" t="inlineStr">
        <is>
          <t>This is the single biggest lever on the final price - see the sensitivity table below</t>
        </is>
      </c>
    </row>
    <row r="48">
      <c r="A48" t="inlineStr">
        <is>
          <t>PAC items</t>
        </is>
      </c>
      <c r="B48" t="inlineStr">
        <is>
          <t>Treated as one all-in lump, no TP/freight/duty decomposition</t>
        </is>
      </c>
      <c r="C48" t="inlineStr">
        <is>
          <t>High</t>
        </is>
      </c>
      <c r="D48" s="18" t="inlineStr">
        <is>
          <t>PAC cost is a genuine local Brazilian manufacturing cost buildup, not an import transaction</t>
        </is>
      </c>
    </row>
    <row r="49">
      <c r="A49" t="inlineStr">
        <is>
          <t>Missing items</t>
        </is>
      </c>
      <c r="B49" t="inlineStr">
        <is>
          <t>27 items excluded (no cost yet)</t>
        </is>
      </c>
      <c r="C49" t="inlineStr">
        <is>
          <t>N/A</t>
        </is>
      </c>
      <c r="D49" s="18" t="inlineStr">
        <is>
          <t>Final price will increase once these get quotes - see 'Missing Items' tab</t>
        </is>
      </c>
    </row>
    <row r="50">
      <c r="A50" t="inlineStr">
        <is>
          <t>Supermetal / GDT rollup</t>
        </is>
      </c>
      <c r="B50" t="inlineStr">
        <is>
          <t>Treated as local cost, no import duty applied (correct, it's Brazilian labor+materials)</t>
        </is>
      </c>
      <c r="C50" t="inlineStr">
        <is>
          <t>Medium</t>
        </is>
      </c>
      <c r="D50" s="18" t="inlineStr">
        <is>
          <t>Does not yet include ISS (service tax) on the labor portion - disregarded for now per Matheus's instruction</t>
        </is>
      </c>
    </row>
    <row r="52">
      <c r="A52" s="11" t="inlineStr">
        <is>
          <t>5) MARGIN SENSITIVITY (same cost base, different TDM targets)</t>
        </is>
      </c>
    </row>
    <row r="53">
      <c r="A53" s="19" t="inlineStr">
        <is>
          <t>TDM</t>
        </is>
      </c>
      <c r="B53" s="19" t="inlineStr">
        <is>
          <t>Net Price (Our Price) USD</t>
        </is>
      </c>
      <c r="C53" s="19" t="inlineStr">
        <is>
          <t>Final Client Price USD</t>
        </is>
      </c>
    </row>
    <row r="54">
      <c r="A54" s="17" t="n">
        <v>0.3</v>
      </c>
      <c r="B54" s="3" t="n">
        <v>751040.2613445378</v>
      </c>
      <c r="C54" s="3" t="n">
        <v>1117026.612143629</v>
      </c>
    </row>
    <row r="56">
      <c r="A56" s="17" t="n">
        <v>0.35</v>
      </c>
      <c r="B56" s="3" t="n">
        <v>805823.6948717949</v>
      </c>
      <c r="C56" s="3" t="n">
        <v>1198506.336073469</v>
      </c>
    </row>
    <row r="58">
      <c r="A58" s="17" t="n">
        <v>0.4</v>
      </c>
      <c r="B58" s="3" t="n">
        <v>869737.7006535948</v>
      </c>
      <c r="C58" s="3" t="n">
        <v>1293566.013991615</v>
      </c>
    </row>
    <row r="60">
      <c r="A60" s="20" t="n">
        <v>0.45</v>
      </c>
      <c r="B60" s="21" t="n">
        <v>945272.4347593583</v>
      </c>
      <c r="C60" s="21" t="n">
        <v>1405909.269713061</v>
      </c>
    </row>
    <row r="62">
      <c r="A62" s="17" t="n">
        <v>0.5</v>
      </c>
      <c r="B62" s="3" t="n">
        <v>1035914.115686275</v>
      </c>
      <c r="C62" s="3" t="n">
        <v>1540721.176578796</v>
      </c>
    </row>
    <row r="64">
      <c r="A64" s="17" t="n">
        <v>0.55</v>
      </c>
      <c r="B64" s="3" t="n">
        <v>1146698.392374728</v>
      </c>
      <c r="C64" s="3" t="n">
        <v>1705491.28497025</v>
      </c>
    </row>
    <row r="66">
      <c r="A66" s="10" t="inlineStr">
        <is>
          <t>Notes:</t>
        </is>
      </c>
    </row>
    <row r="67">
      <c r="A67" s="8" t="inlineStr">
        <is>
          <t>- This tab is a companion to 'Executive Summary (P&amp;L)' - same numbers, but every line explains itself.</t>
        </is>
      </c>
    </row>
    <row r="68">
      <c r="A68" s="8" t="inlineStr">
        <is>
          <t>- QQP (service taxes) and ISS on the Supermetal/labor portion were disregarded for now, as requested - the final price could increase once those are added.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2026-09-23T01:08:58Z</dcterms:modified>
</cp:coreProperties>
</file>