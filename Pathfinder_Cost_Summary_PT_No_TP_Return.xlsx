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abtec-my.sharepoint.com/personal/matheus_deoliveira_wabtec_com/Documents/Documents/wabtec/Advanced Technology/MRS/Proposal/"/>
    </mc:Choice>
  </mc:AlternateContent>
  <xr:revisionPtr revIDLastSave="0" documentId="11_D4AC8BE49008CBEE74588FA44C2D63ADA6DFB4C6" xr6:coauthVersionLast="47" xr6:coauthVersionMax="47" xr10:uidLastSave="{00000000-0000-0000-0000-000000000000}"/>
  <bookViews>
    <workbookView minimized="1" xWindow="-20910" yWindow="1965" windowWidth="21600" windowHeight="11295" firstSheet="1" activeTab="1" xr2:uid="{00000000-000D-0000-FFFF-FFFF00000000}"/>
  </bookViews>
  <sheets>
    <sheet name="Lista de Itens" sheetId="1" r:id="rId1"/>
    <sheet name="Resumo Executivo (P&amp;L)" sheetId="2" r:id="rId2"/>
    <sheet name="Detalhamento do Preço" sheetId="3" r:id="rId3"/>
  </sheets>
  <definedNames>
    <definedName name="_xlnm._FilterDatabase" localSheetId="0" hidden="1">'Lista de Itens'!$A$3:$M$165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C9" i="3" s="1"/>
  <c r="B8" i="3"/>
  <c r="C8" i="3" s="1"/>
  <c r="B17" i="2"/>
  <c r="B20" i="2" s="1"/>
  <c r="C20" i="2" s="1"/>
  <c r="C16" i="2"/>
  <c r="C15" i="2"/>
  <c r="C14" i="2"/>
  <c r="C13" i="2"/>
  <c r="C12" i="2"/>
  <c r="C11" i="2"/>
  <c r="C10" i="2"/>
  <c r="L8" i="2"/>
  <c r="C17" i="2" l="1"/>
  <c r="B21" i="2"/>
  <c r="C21" i="2" l="1"/>
  <c r="B22" i="2"/>
  <c r="C29" i="3" l="1"/>
  <c r="C22" i="2"/>
  <c r="D29" i="3" s="1"/>
  <c r="B25" i="2"/>
  <c r="B26" i="2" l="1"/>
  <c r="C25" i="2"/>
  <c r="C26" i="2" l="1"/>
  <c r="B27" i="2"/>
  <c r="C27" i="2" s="1"/>
  <c r="B28" i="2" l="1"/>
  <c r="C35" i="3" l="1"/>
  <c r="C28" i="2"/>
  <c r="D35" i="3" s="1"/>
</calcChain>
</file>

<file path=xl/sharedStrings.xml><?xml version="1.0" encoding="utf-8"?>
<sst xmlns="http://schemas.openxmlformats.org/spreadsheetml/2006/main" count="1334" uniqueCount="640">
  <si>
    <t>P&amp;L PATHFINDER - PREÇO REAL (metodologia Material Pricing / Approval Summary)</t>
  </si>
  <si>
    <t>Câmbio (USD-&gt;BRL):</t>
  </si>
  <si>
    <t>Total Deal Margin (TDM):</t>
  </si>
  <si>
    <t>&lt;- editável. Atualiza automaticamente o Preço Líquido e o Preço ao Cliente abaixo.</t>
  </si>
  <si>
    <t>PIS/COFINS (blended, NCM real onde disponível):</t>
  </si>
  <si>
    <t>ICMS:</t>
  </si>
  <si>
    <t>IPI (blended, NCM real onde disponível):</t>
  </si>
  <si>
    <t>BRL</t>
  </si>
  <si>
    <t>USD</t>
  </si>
  <si>
    <t>1) CUSTO (Raw Cost + TP + Frete + Imposto de Importação)</t>
  </si>
  <si>
    <t>Raw Cost - Itens Importados (BOM USD x Qtd x Câmbio)</t>
  </si>
  <si>
    <t>Raw Cost - Itens PAC (já nacionalizado, custo all-in local)</t>
  </si>
  <si>
    <t>TP - Transfer Price (13%/17,2% conforme o grupo; é a margem da WBT USA)</t>
  </si>
  <si>
    <t>Frete Internacional (real, cotação China Gate, 1,23%)</t>
  </si>
  <si>
    <t>II - Imposto de Importação (blended 17.96%, NCM real onde disponível)</t>
  </si>
  <si>
    <t>Frete Nacional (real, cotação China Gate, Santos-&gt;Betim/Contagem)</t>
  </si>
  <si>
    <t>Supermetal - GDT Integration/Assembly (modificação do vagão, custo direto)</t>
  </si>
  <si>
    <t>CUSTO FINAL (com TP):</t>
  </si>
  <si>
    <t>2) MARGEM (TDM aplicado sobre o custo SEM TP; TP não é somado novamente)</t>
  </si>
  <si>
    <t>Base p/ margem (Custo Final - TP)</t>
  </si>
  <si>
    <t>Preço Líquido (margem sobre a base sem TP)</t>
  </si>
  <si>
    <t>Preço Líquido (margem aplicada ao custo sem TP; TP não é somado novamente)</t>
  </si>
  <si>
    <t>3) IMPOSTOS DE SAÍDA (não afetam nossa margem - o cliente paga, cliente pode creditar parte)</t>
  </si>
  <si>
    <t>+ PIS/COFINS (por dentro)</t>
  </si>
  <si>
    <t>+ ICMS (por dentro, empilhado sobre PIS/COFINS)</t>
  </si>
  <si>
    <t>+ IPI (por fora, % sobre o valor já com ICMS)</t>
  </si>
  <si>
    <t>PREÇO FINAL AO CLIENTE (com todos os impostos):</t>
  </si>
  <si>
    <t>Notas / Premissas:</t>
  </si>
  <si>
    <t>- Metodologia: abas 'Material Pricing' + 'Approval Summary' do Material Pricing.xlsm (P&amp;L Old descartado - fórmulas quebradas/#REF!).</t>
  </si>
  <si>
    <t>- O TP é excluído da base de margem brasileira e NÃO é somado novamente ao Preço Líquido. O Preço Líquido é calculado aplicando o TDM sobre o custo sem TP.</t>
  </si>
  <si>
    <t>- Frete Internacional e Frete Nacional: valores reais da cotação China Gate (Planilha de Custos de Importação - Pathfinder - Set 26.xlsx), não os 9%/3% antigos.</t>
  </si>
  <si>
    <t>- II/IPI/PIS-COFINS: taxa real por NCM (aba 'II' da Material Pricing) para os 6 itens com NCM confirmado; taxa 'pior caso' (nossa antiga flat) para os demais 41 sem NCM.</t>
  </si>
  <si>
    <t>- ICMS: 18% flat (mesmo valor usado no exemplo real da Material Pricing).</t>
  </si>
  <si>
    <t>- 88 itens PAC somados como um bloco só (já é custo all-in local, sem decompor TP/frete/II).</t>
  </si>
  <si>
    <t>- Custo da Supermetal (Integração/Montagem GDT: reforma do vagão - teto, porta, escada, chicotes, skid de baterias, tubulação Fastbrake, ar condicionado, lastro) incluído como custo direto, entrando na mesma base de margem do equipamento - ver aba 'GDT Integration and Assembly' no arquivo de trabalho principal para o detalhamento item a item.</t>
  </si>
  <si>
    <t>- 27 itens ainda sem cotação de custo (Missing) NÃO estão incluídos neste total - ver aba Lista de Itens (Fonte do Custo = MISSING).</t>
  </si>
  <si>
    <t>- QQP (tributos de serviço) e ISS (imposto do rollup GDT de integração/labor) foram desconsiderados por enquanto, a pedido.</t>
  </si>
  <si>
    <t>LISTA DE ITENS - Proposta de Custo MRS Pathfinder GDT</t>
  </si>
  <si>
    <t>Part Number</t>
  </si>
  <si>
    <t>Descrição</t>
  </si>
  <si>
    <t>Sistema</t>
  </si>
  <si>
    <t>Subsistema</t>
  </si>
  <si>
    <t>Quantidade</t>
  </si>
  <si>
    <t>Fonte do Custo</t>
  </si>
  <si>
    <t>Custo Unitário USD (Itens Importados, sem markup)</t>
  </si>
  <si>
    <t>Custo Unitário BRL (Itens PAC, custo local nacionalizado)</t>
  </si>
  <si>
    <t>Peso (kg)</t>
  </si>
  <si>
    <t>Confiança do Peso</t>
  </si>
  <si>
    <t>NCM</t>
  </si>
  <si>
    <t>Dimensões (C x A x L, in)</t>
  </si>
  <si>
    <t>Observações</t>
  </si>
  <si>
    <t>41A296352CMP437</t>
  </si>
  <si>
    <t>Dual Processor Module (DPM)+ LXA (Distributed Power Radio)</t>
  </si>
  <si>
    <t>Controls (MCA, train control, er etc)</t>
  </si>
  <si>
    <t>LXA</t>
  </si>
  <si>
    <t>Importado (EUA)</t>
  </si>
  <si>
    <t>High</t>
  </si>
  <si>
    <t>90328990</t>
  </si>
  <si>
    <t>37495P</t>
  </si>
  <si>
    <t>KIT ETMS VIRGIN TRAINS FEC EVO44</t>
  </si>
  <si>
    <t>PTC</t>
  </si>
  <si>
    <t>PTC KIT MASTER</t>
  </si>
  <si>
    <t>84A222059P5</t>
  </si>
  <si>
    <t>BATTERIES</t>
  </si>
  <si>
    <t>Power</t>
  </si>
  <si>
    <t>POWER</t>
  </si>
  <si>
    <t>41A296352LUG24</t>
  </si>
  <si>
    <t>CSX Antenna Enclosure Arrangement</t>
  </si>
  <si>
    <t>Connectivity</t>
  </si>
  <si>
    <t>ANTENNA KIT Master</t>
  </si>
  <si>
    <t>84A215295P62</t>
  </si>
  <si>
    <t>Pneumatic Brake Control System (Including lament and control portions) Includes EM EAB Control Functionality</t>
  </si>
  <si>
    <t>Air</t>
  </si>
  <si>
    <t>Fastbrake</t>
  </si>
  <si>
    <t>41A296352DNP37</t>
  </si>
  <si>
    <t>RADIO PRAD PTC RADIO</t>
  </si>
  <si>
    <t>17FM878A6</t>
  </si>
  <si>
    <t>NIO 2.0</t>
  </si>
  <si>
    <t>MCA</t>
  </si>
  <si>
    <t>L7000083-900</t>
  </si>
  <si>
    <t>Wireless Communications Management Module, Gen 3 (WCM3)​</t>
  </si>
  <si>
    <t>TRAIN CONTROL</t>
  </si>
  <si>
    <t>84A237085AEP121</t>
  </si>
  <si>
    <t>8 Slot ACC Chassis for MCA w/ i7 HPEAP and SMM2 Cards</t>
  </si>
  <si>
    <t>17FL472A2</t>
  </si>
  <si>
    <t>TMC PANEL</t>
  </si>
  <si>
    <t>SKID Assembly</t>
  </si>
  <si>
    <t>SKID (Skid)</t>
  </si>
  <si>
    <t>PAC (Brasil, nacionalizado)</t>
  </si>
  <si>
    <t>85371090</t>
  </si>
  <si>
    <t>17KC108E28</t>
  </si>
  <si>
    <t>MASTER CONTROLLER</t>
  </si>
  <si>
    <t>GET (fabricado internamente)</t>
  </si>
  <si>
    <t>84A215295P73</t>
  </si>
  <si>
    <t>Air Brake Handle Assembly (AAR Console)</t>
  </si>
  <si>
    <t>17FM868B2</t>
  </si>
  <si>
    <t>SNIO</t>
  </si>
  <si>
    <t>41A296352DNP55</t>
  </si>
  <si>
    <t>VOICE RADIO RITRON</t>
  </si>
  <si>
    <t>VOICE RADIO</t>
  </si>
  <si>
    <t>32613P</t>
  </si>
  <si>
    <t>KIT ETMS AXLE INTERFACE FOR WPart Number 29266P</t>
  </si>
  <si>
    <t>17FH40X1</t>
  </si>
  <si>
    <t>LPS 17FH40 (COMMON LOGIC POWER SUPPLY) (5v, 15v, 19v, 24v)</t>
  </si>
  <si>
    <t>POWER SUPPLY</t>
  </si>
  <si>
    <t>85044029</t>
  </si>
  <si>
    <t>24x10x20</t>
  </si>
  <si>
    <t>41D758679BJG16 	84D704379AFG1</t>
  </si>
  <si>
    <t>EC Part NumberL ASM</t>
  </si>
  <si>
    <t>Circuit Breaker</t>
  </si>
  <si>
    <t>86079100</t>
  </si>
  <si>
    <t>20x3.5x25.5</t>
  </si>
  <si>
    <t>41B546155P2</t>
  </si>
  <si>
    <t>Horn</t>
  </si>
  <si>
    <t>Ditchlight Control Box (SMART BOX-V3-DLC )</t>
  </si>
  <si>
    <t>LED Ditch Light</t>
  </si>
  <si>
    <t>17FM839B1</t>
  </si>
  <si>
    <t>PANEL ASM CFD - Thin Client Display</t>
  </si>
  <si>
    <t>85312000</t>
  </si>
  <si>
    <t>18.5x8.5x15</t>
  </si>
  <si>
    <t>17FM839A3</t>
  </si>
  <si>
    <t>TCD (Thin Client Display)</t>
  </si>
  <si>
    <t>84A201003DAP1</t>
  </si>
  <si>
    <t>ELECTRIC Bell</t>
  </si>
  <si>
    <t>85318000</t>
  </si>
  <si>
    <t>14.25x14.25x10</t>
  </si>
  <si>
    <t>17FB193E2F</t>
  </si>
  <si>
    <t>GET Card</t>
  </si>
  <si>
    <t>GET</t>
  </si>
  <si>
    <t>85049040</t>
  </si>
  <si>
    <t>17.2x1.95x11.2</t>
  </si>
  <si>
    <t>84A215295P3</t>
  </si>
  <si>
    <t>POU-to-Handle cable 18' length</t>
  </si>
  <si>
    <t>Medium</t>
  </si>
  <si>
    <t>41B566322ACG1</t>
  </si>
  <si>
    <t>TRAINLINE RESISTOR PANEL</t>
  </si>
  <si>
    <t>85333990</t>
  </si>
  <si>
    <t>14x6x8.5</t>
  </si>
  <si>
    <t>41A296304DDP4</t>
  </si>
  <si>
    <t>G-RECTIFIER POWER BLOCK</t>
  </si>
  <si>
    <t>Low</t>
  </si>
  <si>
    <t>85411099</t>
  </si>
  <si>
    <t>10.85x1.1x8.5</t>
  </si>
  <si>
    <t>Peso suspeito, verificar</t>
  </si>
  <si>
    <t>RCCR-RMTCBL-RA-CUSTOM</t>
  </si>
  <si>
    <t>VOICE RADIO RITRON CABLE,REMOTE,RR-225/XXX, RCCR,RIGHT
ANGLE,19-PIN,FLAME RETARDANT</t>
  </si>
  <si>
    <t>41C663693G1</t>
  </si>
  <si>
    <t>PANEL CPF</t>
  </si>
  <si>
    <t>20.5x10.5x11.5</t>
  </si>
  <si>
    <t>41A296352PTP306/41A296352PTP122</t>
  </si>
  <si>
    <t>Assembled Air Manifold (Contains 3 pressure sensors mounted in appropriate locations on Air Manifold.)</t>
  </si>
  <si>
    <t>85381000</t>
  </si>
  <si>
    <t>84A232147P1</t>
  </si>
  <si>
    <t>KNOB HLD DWN with washer and screw</t>
  </si>
  <si>
    <t>83024900</t>
  </si>
  <si>
    <t>3.5x0.75x0.75</t>
  </si>
  <si>
    <t>32447P</t>
  </si>
  <si>
    <t>ASY CABLE WHEEL TACH AC EVO/SD70 ACE</t>
  </si>
  <si>
    <t>41A296352PTP10/319/34</t>
  </si>
  <si>
    <t>VALVE Part NumberEUMATIC NC/CO (Penalty Magnet Valve) Graham-White 812-142</t>
  </si>
  <si>
    <t>84A201176P1</t>
  </si>
  <si>
    <t>Pathfinder Control Unit Connector (MU Plug)</t>
  </si>
  <si>
    <t>85366990</t>
  </si>
  <si>
    <t>7x4x7</t>
  </si>
  <si>
    <t>84A201150ACP2</t>
  </si>
  <si>
    <t>CROSSING BELL PUSH BUTTON
SWITCH</t>
  </si>
  <si>
    <t>85365090</t>
  </si>
  <si>
    <t>11.8x6.4x8.05</t>
  </si>
  <si>
    <t>17FH37A6</t>
  </si>
  <si>
    <t>RPS Power Panel - Radio Power Supply - 15V</t>
  </si>
  <si>
    <t>85044030</t>
  </si>
  <si>
    <t>12.8x3.8x9.5</t>
  </si>
  <si>
    <t>41A240644P2</t>
  </si>
  <si>
    <t>HORN MAGNET VALVE</t>
  </si>
  <si>
    <t>84812090</t>
  </si>
  <si>
    <t>8.4x3.35x7.5</t>
  </si>
  <si>
    <t>41A296352CMP387</t>
  </si>
  <si>
    <t>ETHERNET CABLE</t>
  </si>
  <si>
    <t>85444200</t>
  </si>
  <si>
    <t>0x0x0</t>
  </si>
  <si>
    <t>41B511393P2</t>
  </si>
  <si>
    <t>Battery Knife Switch</t>
  </si>
  <si>
    <t>13.5x5.25x7</t>
  </si>
  <si>
    <t>84A231123CSP30</t>
  </si>
  <si>
    <t>Axle Tac - WRE Part Number: 29266P</t>
  </si>
  <si>
    <t>84A207079ABP1</t>
  </si>
  <si>
    <t>41A313392DCP18 alternative 300" /</t>
  </si>
  <si>
    <t>Wiring</t>
  </si>
  <si>
    <t>85446000</t>
  </si>
  <si>
    <t>24x20x24</t>
  </si>
  <si>
    <t>84A201850P4</t>
  </si>
  <si>
    <t>ENGINE CONTROL SWITCH</t>
  </si>
  <si>
    <t>RCCR-PWRCBL</t>
  </si>
  <si>
    <t>CABLE, PWR, 72V,RA,6.5FT (78").,RR-070,RCCR</t>
  </si>
  <si>
    <t>41A216641P158</t>
  </si>
  <si>
    <t>SNIO CONNECTOR 3</t>
  </si>
  <si>
    <t>3x2x3</t>
  </si>
  <si>
    <t>41B546301P4</t>
  </si>
  <si>
    <t>DOOR INTERLOCK SWITCH</t>
  </si>
  <si>
    <t>6x2.25x3</t>
  </si>
  <si>
    <t>84A201169AKP1</t>
  </si>
  <si>
    <t>ENGINEERS HORN BUTTON</t>
  </si>
  <si>
    <t>9.35x5.3x5.2</t>
  </si>
  <si>
    <t>41B549523ABP101</t>
  </si>
  <si>
    <t>BATTERY SAVER RESET PUSH BUTTON</t>
  </si>
  <si>
    <t>3.875x1.625x2.125</t>
  </si>
  <si>
    <t>41B564808G1</t>
  </si>
  <si>
    <t>A-DIODE ASM</t>
  </si>
  <si>
    <t>85411092</t>
  </si>
  <si>
    <t>3x0.75x1.5</t>
  </si>
  <si>
    <t>497A365P13</t>
  </si>
  <si>
    <t>ALARM AND SIGNAL BELL</t>
  </si>
  <si>
    <t>7x3.25x4.75</t>
  </si>
  <si>
    <t>84A201850P5</t>
  </si>
  <si>
    <t>AC-ROTARY SWITCH</t>
  </si>
  <si>
    <t>5.2x2.9x3.35</t>
  </si>
  <si>
    <t>41A216641P235</t>
  </si>
  <si>
    <t>GOLINC / ACC POWER CONNECTOR</t>
  </si>
  <si>
    <t>85359090</t>
  </si>
  <si>
    <t>4.52x1.35x6.95</t>
  </si>
  <si>
    <t>84A206730P1</t>
  </si>
  <si>
    <t>565" / CABLE 5 PAIR</t>
  </si>
  <si>
    <t>85444900</t>
  </si>
  <si>
    <t>12x0.5x0.5</t>
  </si>
  <si>
    <t>41B549523ADP108</t>
  </si>
  <si>
    <t>VIGILANCE RESET SWITCH</t>
  </si>
  <si>
    <t>4x2.5x2.5</t>
  </si>
  <si>
    <t>41A317303ACP49</t>
  </si>
  <si>
    <t>AIR RESERVOIR
PRESSURE
SENSOR</t>
  </si>
  <si>
    <t>90262090</t>
  </si>
  <si>
    <t>2.9x0.5x0.5</t>
  </si>
  <si>
    <t>41A216641AMP126</t>
  </si>
  <si>
    <t>NIO1D CONNECTOR BACKSHELL</t>
  </si>
  <si>
    <t>84A215329P1</t>
  </si>
  <si>
    <t>ENGINE STOP SWITCH</t>
  </si>
  <si>
    <t>1.75x3.25x2.75</t>
  </si>
  <si>
    <t>41A296328ASP3</t>
  </si>
  <si>
    <t>BATTERY TEMPERATURE SENSOR</t>
  </si>
  <si>
    <t>90251990</t>
  </si>
  <si>
    <t>9.5x1.5x9.5</t>
  </si>
  <si>
    <t>41A216641ABP45</t>
  </si>
  <si>
    <t>DUAL PROCESSOR MODULE 
CONNECTOR</t>
  </si>
  <si>
    <t>85369090</t>
  </si>
  <si>
    <t>2x1x1</t>
  </si>
  <si>
    <t>84A232147P2</t>
  </si>
  <si>
    <t>PIN            REAR HOLD-DOWN</t>
  </si>
  <si>
    <t>73182900</t>
  </si>
  <si>
    <t>1x0.125x0.125</t>
  </si>
  <si>
    <t>41A321053G1</t>
  </si>
  <si>
    <t>Power Resistor</t>
  </si>
  <si>
    <t>Resistor</t>
  </si>
  <si>
    <t>85332900</t>
  </si>
  <si>
    <t>12x3x7.5</t>
  </si>
  <si>
    <t>17 pin MS3106-20-29F</t>
  </si>
  <si>
    <t>Head of Train Device - Padom - J2 Connector</t>
  </si>
  <si>
    <t>41A216641P157</t>
  </si>
  <si>
    <t>SNIO CONNECTOR 2</t>
  </si>
  <si>
    <t>2.5x1.5x1.5</t>
  </si>
  <si>
    <t>41A216641AMP125</t>
  </si>
  <si>
    <t>NIO1A CONNECTOR BACKSHELL</t>
  </si>
  <si>
    <t>5088-7000-P4611-0000000-ND‎</t>
  </si>
  <si>
    <t>POE Power Connector on SMM2 (M12 FEMALE 0 L-CODED FIELD-WIREA)</t>
  </si>
  <si>
    <t>41A296352PTP67</t>
  </si>
  <si>
    <t>CABLE CSX 12V P WR CBL</t>
  </si>
  <si>
    <t>41A296352PTP69</t>
  </si>
  <si>
    <t>CABLE CSX 74V P WR CBL</t>
  </si>
  <si>
    <t>41A216641AMP93</t>
  </si>
  <si>
    <t>NIO1E CONNECTOR</t>
  </si>
  <si>
    <t>41B549523ADP1</t>
  </si>
  <si>
    <t>Black push Button</t>
  </si>
  <si>
    <t>Use in place of al levers and other push buttons</t>
  </si>
  <si>
    <t>4x2.125x2.125</t>
  </si>
  <si>
    <t>41B549523ADP2</t>
  </si>
  <si>
    <t>SWITCH PUSH BUTTON</t>
  </si>
  <si>
    <t>1.95x2.7x1.8</t>
  </si>
  <si>
    <t>41A296328APP5</t>
  </si>
  <si>
    <t>BATTERY CURRENT SENSOR</t>
  </si>
  <si>
    <t>90303390</t>
  </si>
  <si>
    <t>4.75x1.25x4</t>
  </si>
  <si>
    <t>41A216641AMP103</t>
  </si>
  <si>
    <t>NIO1D CONNECTOR</t>
  </si>
  <si>
    <t>1.5x1x1.5</t>
  </si>
  <si>
    <t>16246P</t>
  </si>
  <si>
    <t>Flexi-Axle - WRE Part Number: 16246P</t>
  </si>
  <si>
    <t>41A216641AMP99</t>
  </si>
  <si>
    <t>NIO1B CONNECTOR</t>
  </si>
  <si>
    <t>41A216641AMP123</t>
  </si>
  <si>
    <t>NIO1F CONNECTOR BACKSHELL</t>
  </si>
  <si>
    <t>41A216641P140</t>
  </si>
  <si>
    <t>Part NumberEUMATIC OPERATING UNIT
CONNECTOR - 5</t>
  </si>
  <si>
    <t>4x2x4</t>
  </si>
  <si>
    <t>41A216641AMP100</t>
  </si>
  <si>
    <t>NIO1C CONNECTOR</t>
  </si>
  <si>
    <t>41A216641P53</t>
  </si>
  <si>
    <t>SNIO CONNECTOR 1</t>
  </si>
  <si>
    <t>5.85x1.95x3.9</t>
  </si>
  <si>
    <t>41A216641AMP86</t>
  </si>
  <si>
    <t>NIO1F CONNECTOR</t>
  </si>
  <si>
    <t>3.95x1.25x6.65</t>
  </si>
  <si>
    <t>41A216641P141</t>
  </si>
  <si>
    <t>Part NumberEUMATIC OPERATING UNIT
CONNECTOR - 7</t>
  </si>
  <si>
    <t>4x2x3</t>
  </si>
  <si>
    <t>41A212414P35</t>
  </si>
  <si>
    <t>CIRCUIT BREAKER 1P</t>
  </si>
  <si>
    <t>85362000</t>
  </si>
  <si>
    <t>3.1x0.7x2.45</t>
  </si>
  <si>
    <t>41A212414P73</t>
  </si>
  <si>
    <t>BATT CHARGER &amp; COMP CIRCUIT BREAKER (2P, 20A / 50A)</t>
  </si>
  <si>
    <t>3x2x2.55</t>
  </si>
  <si>
    <t>41A212414P76</t>
  </si>
  <si>
    <t>FUEL PUMP CIRCUIT BREAKER (4P,
25A / 45A)</t>
  </si>
  <si>
    <t>2.9x2.45x3.05</t>
  </si>
  <si>
    <t>41A296326DDP52</t>
  </si>
  <si>
    <t>EMU CONNECTOR</t>
  </si>
  <si>
    <t>84B523158P1</t>
  </si>
  <si>
    <t>RESERVOIR DRAIN VALVE HEATER # 1</t>
  </si>
  <si>
    <t>85168090</t>
  </si>
  <si>
    <t>9x1.5x9</t>
  </si>
  <si>
    <t>41A216641P142</t>
  </si>
  <si>
    <t>Part NumberEUMATIC OPERATING UNIT
CONNECTOR - 8</t>
  </si>
  <si>
    <t>4x1x4</t>
  </si>
  <si>
    <t>41A216641AMP98</t>
  </si>
  <si>
    <t>NIO1A CONNECTOR</t>
  </si>
  <si>
    <t>41A216641ABP153</t>
  </si>
  <si>
    <t>HELPER'S RADIO SPEAKER 
CONNECTOR</t>
  </si>
  <si>
    <t>17LV66BD52</t>
  </si>
  <si>
    <t>CONSIST MANAGER SYSTEM RELAY</t>
  </si>
  <si>
    <t>85364900</t>
  </si>
  <si>
    <t>4.5x5.25x4.5</t>
  </si>
  <si>
    <t>17LV66J10</t>
  </si>
  <si>
    <t>RELAYS</t>
  </si>
  <si>
    <t>5.8x3.5x4.5</t>
  </si>
  <si>
    <t>41A296326DDP78</t>
  </si>
  <si>
    <t>GEW LAYER 3 ETH ERNET SWITCH POWER PLUG</t>
  </si>
  <si>
    <t>3x1x2</t>
  </si>
  <si>
    <t>41A265714P22</t>
  </si>
  <si>
    <t>SOCKET CONTACT, .75"</t>
  </si>
  <si>
    <t>0.75x0.1x0.1</t>
  </si>
  <si>
    <t>41A216641ABP139</t>
  </si>
  <si>
    <t>DISTRIBUTED POWER RADIO MODULE
BASE CONNECTOR</t>
  </si>
  <si>
    <t>2.5x1.25x1.25</t>
  </si>
  <si>
    <t>84B104674ASP14</t>
  </si>
  <si>
    <t>AMBIENT AIR TEMPERATURE SENSOR
PLUG</t>
  </si>
  <si>
    <t>3.5x2x3.25</t>
  </si>
  <si>
    <t>41A316591P1</t>
  </si>
  <si>
    <t>Card Holder 3 Slot</t>
  </si>
  <si>
    <t>39269090</t>
  </si>
  <si>
    <t>17x1.25x12.625</t>
  </si>
  <si>
    <t>41A212414P31, 41A212414P3 2-Pole Option</t>
  </si>
  <si>
    <t>AUTOCOUPLER CIRCUIT BREAKER,  CCB(2A)</t>
  </si>
  <si>
    <t>2.5x0.65x3.05</t>
  </si>
  <si>
    <t>41A265713P22</t>
  </si>
  <si>
    <t>PIN</t>
  </si>
  <si>
    <t>85389090</t>
  </si>
  <si>
    <t>1x0.001x0.001</t>
  </si>
  <si>
    <t>41A212414P3</t>
  </si>
  <si>
    <t>DYNAMIC BRAKE CIRCUIT BREAKER
(1P, 2A)</t>
  </si>
  <si>
    <t>3.1x1.45x2.5</t>
  </si>
  <si>
    <t>41A212414P14</t>
  </si>
  <si>
    <t>PTC RADIO CIRCUIT BREAKER (2P,
15A)</t>
  </si>
  <si>
    <t>2.5x1.5x3.25</t>
  </si>
  <si>
    <t>41A212414P15</t>
  </si>
  <si>
    <t>SMART DISPLAY #1 CIRCUIT BREAKER (2P, 6A)</t>
  </si>
  <si>
    <t>2.5x1.5x2.5</t>
  </si>
  <si>
    <t>41A212414P5</t>
  </si>
  <si>
    <t>CABINET FANS BREAKER (2P, 5A) CBCB</t>
  </si>
  <si>
    <t>2.5x1.5x3</t>
  </si>
  <si>
    <t>41A212414P4</t>
  </si>
  <si>
    <t>DC/DC #1 TL13 Side (1P, 10A)</t>
  </si>
  <si>
    <t>41A212414P2</t>
  </si>
  <si>
    <t>LIGHTING CIRCUIT BREAKER (2P, 30A)</t>
  </si>
  <si>
    <t>41A212414P8</t>
  </si>
  <si>
    <t>MULTI-TASK CIRCUIT BREAKER (2P, 25A)</t>
  </si>
  <si>
    <t>3x1.5x2.5</t>
  </si>
  <si>
    <t>41A296326AUP1</t>
  </si>
  <si>
    <t>LOGIC POWER SUPPLY CONN (62 PIN)</t>
  </si>
  <si>
    <t>6.375x6.375x1.5</t>
  </si>
  <si>
    <t>41A268255P4</t>
  </si>
  <si>
    <t>DIAGNOSTIC ACCESS SWITCH</t>
  </si>
  <si>
    <t>3.05x2.2x4.7</t>
  </si>
  <si>
    <t>41A250095G10</t>
  </si>
  <si>
    <t>TERMINAL BOARD (20 POINT)</t>
  </si>
  <si>
    <t>12.75x3.375x2.75</t>
  </si>
  <si>
    <t>41A251900G1</t>
  </si>
  <si>
    <t>RADIO LOCKER TERMINAL BOARD (12 POINT)</t>
  </si>
  <si>
    <t>8.125x1.625x2</t>
  </si>
  <si>
    <t>5373-219</t>
  </si>
  <si>
    <t>CONNECTOR, ELECTRICAL</t>
  </si>
  <si>
    <t>41A305772P1</t>
  </si>
  <si>
    <t>WORK LIGHT - SWITCH - #1 END (LIGHTING BREAKER)</t>
  </si>
  <si>
    <t>1.7x0.95x1.75</t>
  </si>
  <si>
    <t>497A911P1</t>
  </si>
  <si>
    <t>STEP LIGHT SWITCH</t>
  </si>
  <si>
    <t>2x1x2</t>
  </si>
  <si>
    <t>499A906AAP12</t>
  </si>
  <si>
    <t>NUT, HEX, NYLOCK, 8-32, GR5, Z</t>
  </si>
  <si>
    <t>73181600</t>
  </si>
  <si>
    <t>0.125x0.125x0.25</t>
  </si>
  <si>
    <t>84B519079G1</t>
  </si>
  <si>
    <t>MAIN RESERVOIR PRESSURE SENSOR
CONNECTOR</t>
  </si>
  <si>
    <t>4.5x1.48x1.48</t>
  </si>
  <si>
    <t>41A212414P39</t>
  </si>
  <si>
    <t>CONTROL SWITCH CIRCUIT BREAKER (1P, 30A)</t>
  </si>
  <si>
    <t>3.05x0.7x2.45</t>
  </si>
  <si>
    <t>41A296328AAP5</t>
  </si>
  <si>
    <t>SENSOR, THERMISTOR TEMPERATURE PROBE</t>
  </si>
  <si>
    <t>2.5x1x1</t>
  </si>
  <si>
    <t>41A216641AMP109</t>
  </si>
  <si>
    <t>Contact</t>
  </si>
  <si>
    <t>41A265616P52</t>
  </si>
  <si>
    <t>Ring Terminal</t>
  </si>
  <si>
    <t>3.75x4.15x7.5</t>
  </si>
  <si>
    <t>41A271471P61</t>
  </si>
  <si>
    <t>TRAINLINE RESISTOR PANEL CONN</t>
  </si>
  <si>
    <t>1.75x0.375x1.75</t>
  </si>
  <si>
    <t>41A271474P17</t>
  </si>
  <si>
    <t>AUX SHEET CONNECTOR</t>
  </si>
  <si>
    <t>1.55x1x1</t>
  </si>
  <si>
    <t>84B514977G1</t>
  </si>
  <si>
    <t>CONNECTION ASM</t>
  </si>
  <si>
    <t>85319000</t>
  </si>
  <si>
    <t>1.25x0.75x0.75</t>
  </si>
  <si>
    <t>41A271474P13</t>
  </si>
  <si>
    <t>AUX SHEET CONNECTOR - PIN</t>
  </si>
  <si>
    <t>41A271471P24</t>
  </si>
  <si>
    <t>AMP, Cable Clamp Kit, Thermoplastic, Black, 17 Shell Size,</t>
  </si>
  <si>
    <t>5.1x1.15x2.95</t>
  </si>
  <si>
    <t>41A296326BUP3</t>
  </si>
  <si>
    <t>Contact for 14-18 AWG wire (41A296326AUP1),
insulation OD .110-.150, with
secondary locking type
connector plug</t>
  </si>
  <si>
    <t>1x0.1x0.1</t>
  </si>
  <si>
    <t>N80P15016B13</t>
  </si>
  <si>
    <t>SCREW, PHP, 8-32 X 1, GR5, Z</t>
  </si>
  <si>
    <t>73181500</t>
  </si>
  <si>
    <t>1.125x0.25x0.25</t>
  </si>
  <si>
    <t>41A271471P24/38</t>
  </si>
  <si>
    <t>HPEAP DISCRETE CONNECTOR Backshell</t>
  </si>
  <si>
    <t>41A271471P35</t>
  </si>
  <si>
    <t>CONNECTOR (24 SOCKET)</t>
  </si>
  <si>
    <t>1.65x1.05x1.65</t>
  </si>
  <si>
    <t>41A271471P16</t>
  </si>
  <si>
    <t>SPEED SENSORS (1-3)/(4-6) CONNECTOR
(37 SOCKET)</t>
  </si>
  <si>
    <t>1.6x1.05x1.7</t>
  </si>
  <si>
    <t>41A271471P22</t>
  </si>
  <si>
    <t>GROUND MEASURING MODULE
CONNECTOR</t>
  </si>
  <si>
    <t>1.25x1.05x1.3</t>
  </si>
  <si>
    <t>41A271471P40</t>
  </si>
  <si>
    <t>TRAINLINE RESISTOR PANEL CONN BACKSHELL</t>
  </si>
  <si>
    <t>7.1x2.9x6.45</t>
  </si>
  <si>
    <t>41A281695P1</t>
  </si>
  <si>
    <t>RESISTOR</t>
  </si>
  <si>
    <t>4x0.5x1</t>
  </si>
  <si>
    <t>N402P8B13</t>
  </si>
  <si>
    <t>WASHER, FLAT, #8, GR5, Z</t>
  </si>
  <si>
    <t>73182200</t>
  </si>
  <si>
    <t>0.25x0.005x0.25</t>
  </si>
  <si>
    <t>41A265714P12</t>
  </si>
  <si>
    <t>Contact, .4in</t>
  </si>
  <si>
    <t>0.4x0.3x1</t>
  </si>
  <si>
    <t>482A444ASP48</t>
  </si>
  <si>
    <t>PTC PULL UP RESISTOR</t>
  </si>
  <si>
    <t>1.95x0.55x1</t>
  </si>
  <si>
    <t>41A296326AKP5</t>
  </si>
  <si>
    <t>Power Plug for the TCD</t>
  </si>
  <si>
    <t>0.85x0.3x1</t>
  </si>
  <si>
    <t>41A296326AMP52</t>
  </si>
  <si>
    <t>Crimp Type Contact Pin</t>
  </si>
  <si>
    <t>0.05x0.05x0.1</t>
  </si>
  <si>
    <t>499A906AAP2</t>
  </si>
  <si>
    <t>NUT, HEX, NYLOCK, 1/4-20, GR5, Z</t>
  </si>
  <si>
    <t>0.05x0.05x0.05</t>
  </si>
  <si>
    <t>41A296352DNP73</t>
  </si>
  <si>
    <t>CABLE: GROUND S TRAP</t>
  </si>
  <si>
    <t>41A296352DNP96</t>
  </si>
  <si>
    <t>Cable: CRM Ethernet Switch to ACC</t>
  </si>
  <si>
    <t>41A296352DNP57</t>
  </si>
  <si>
    <t>REMOTE HEAD - VOICE RADIO RITRON</t>
  </si>
  <si>
    <t>Incluso / sem custo separado</t>
  </si>
  <si>
    <t>Quotation pending (no USD or BRL price)</t>
  </si>
  <si>
    <t>41A296326CYP77</t>
  </si>
  <si>
    <t>M12-A_ MALE_ 8-PIN_ STRAIGHT BSH</t>
  </si>
  <si>
    <t>FALTANTE - sem cotação</t>
  </si>
  <si>
    <t>41A296352PTP272</t>
  </si>
  <si>
    <t>BC-PRECISION NAVIGATION MODULE</t>
  </si>
  <si>
    <t>41A296352PTP58</t>
  </si>
  <si>
    <t>AY-DISPLAY CSX PTC DISPLAY</t>
  </si>
  <si>
    <t>41A296352PTP292</t>
  </si>
  <si>
    <t>AX-POWER SUPPLY 13.6 V</t>
  </si>
  <si>
    <t>MODEM ATT</t>
  </si>
  <si>
    <t>Exact PN match found in PAC (org GCM) as 'TMC Panel Assembly'. Replacement PN for original 17FL519A1.</t>
  </si>
  <si>
    <t>84A237085AJP1</t>
  </si>
  <si>
    <t>C-GoLIN EP_3 SMA_M2 CELL MODEM</t>
  </si>
  <si>
    <t>17FL400B</t>
  </si>
  <si>
    <t>ST-DEVELOPER v19.4</t>
  </si>
  <si>
    <t>41A296352CMP448</t>
  </si>
  <si>
    <t>FB-DIGITAL RADIO MODULE</t>
  </si>
  <si>
    <t>41A296352PTP326</t>
  </si>
  <si>
    <t>BH-WABTEC TRAIN MANAGEMENT COMPUTER _WTMC_</t>
  </si>
  <si>
    <t>17FM711C3</t>
  </si>
  <si>
    <t>H-PANEL DBM</t>
  </si>
  <si>
    <t>No PAC record for this exact PN; priced using the PAC reference for the analogous TCD PN 17FM839B1 (org GCM, identical description match) as a second physical display unit for the SKID. Confirm with engineering.</t>
  </si>
  <si>
    <t>41A296352BCP9</t>
  </si>
  <si>
    <t>N-HEAD OF TRAIN DEVICE</t>
  </si>
  <si>
    <t>RL-1033772</t>
  </si>
  <si>
    <t>ASSEMBLY, RELAY BOARD</t>
  </si>
  <si>
    <t>41B549523ADP15</t>
  </si>
  <si>
    <t>BAP900F</t>
  </si>
  <si>
    <t>CONVERTER/CHARGER DC/DC 74/72-F4WTSA</t>
  </si>
  <si>
    <t>41A296352PTP360</t>
  </si>
  <si>
    <t>_BB-CUT-OUT SWITCH CABINET</t>
  </si>
  <si>
    <t>N265P21B</t>
  </si>
  <si>
    <t>NUT, HEX, LOCK, 1/4-20, GR5, Z</t>
  </si>
  <si>
    <t>N647AP21012B</t>
  </si>
  <si>
    <t>BOLT, BHCS, 1/4"-20 X 3/4", 18-8</t>
  </si>
  <si>
    <t>1009634-901</t>
  </si>
  <si>
    <t>SFM 701x Smart Fan Module</t>
  </si>
  <si>
    <t>bottom on ACC</t>
  </si>
  <si>
    <t>401581-100</t>
  </si>
  <si>
    <t>SFPIM 703x 15v Smart Fan Module</t>
  </si>
  <si>
    <t>41A296352VHP1_E-GEW</t>
  </si>
  <si>
    <t>PTC-FILT-NB-160-MIL-U</t>
  </si>
  <si>
    <t>160 MHz PTC Filter</t>
  </si>
  <si>
    <t>later</t>
  </si>
  <si>
    <t>PTC-FILT-NB-220-MIL-MF</t>
  </si>
  <si>
    <t>220 Mhz PTC FILTER</t>
  </si>
  <si>
    <t>PTC Junction Box</t>
  </si>
  <si>
    <t>41A296352LUP15</t>
  </si>
  <si>
    <t>455 MHz Antenna (DPA, DPB, EOT )</t>
  </si>
  <si>
    <t>84D749224G1</t>
  </si>
  <si>
    <t>Power resistor</t>
  </si>
  <si>
    <t>Battery Skid?</t>
  </si>
  <si>
    <t>Exact PN match found in PAC (org GCM) as 'CARD'. Made by GET; retained for GET impact analysis using PAC reference price.</t>
  </si>
  <si>
    <t>DETALHAMENTO DO CÁLCULO DE PREÇO - origem e fórmula de cada número</t>
  </si>
  <si>
    <t>Use esta aba pra responder 'por que esse número é X' - cada linha cita a fonte.</t>
  </si>
  <si>
    <t>0) CHECAGEM DE REALIDADE vs. preço doméstico nos EUA</t>
  </si>
  <si>
    <t>Preço de Referência Doméstico EUA (input - digite o valor real aqui):</t>
  </si>
  <si>
    <t>Nosso Preço (Líquido - custo + margem, antes dos impostos brasileiros de saída):</t>
  </si>
  <si>
    <t>&lt;- esse é o número que é de fato comparável a uma venda doméstica nos EUA (sem imposto de importação/consumo do Brasil).</t>
  </si>
  <si>
    <t>Preço Final ao Cliente (com todos os impostos brasileiros):</t>
  </si>
  <si>
    <t>Diferença vs. referência EUA (Preço Líquido):</t>
  </si>
  <si>
    <t>Diferença vs. referência EUA (Preço Final ao Cliente):</t>
  </si>
  <si>
    <t>PONTO-CHAVE: nosso Preço Líquido está próximo do preço de referência dos EUA - o salto grande até o Preço Final ao Cliente vem</t>
  </si>
  <si>
    <t>inteiro do Imposto de Importação (II) e dos impostos de consumo brasileiros (IPI/PIS/COFINS/ICMS), que não existem numa venda</t>
  </si>
  <si>
    <t>doméstica nos EUA e incidiriam do mesmo jeito seja importando componentes ou um vagão pronto (um veículo pronto pode inclusive</t>
  </si>
  <si>
    <t>cair numa faixa de II diferente/maior - vale confirmar com um especialista em importação automotiva/ferroviária antes de assumir que 'comprar pronto' evita essa cascata de imposto).</t>
  </si>
  <si>
    <t>1) CASCATA COMPLETA (bate com a aba 'Resumo Executivo (P&amp;L)', só que com a fonte de cada linha)</t>
  </si>
  <si>
    <t>Etapa</t>
  </si>
  <si>
    <t>Fórmula / Lógica</t>
  </si>
  <si>
    <t>Multiplicador vs. Custo Final (só nos totais)</t>
  </si>
  <si>
    <t>Fonte / Justificativa</t>
  </si>
  <si>
    <t>Raw Cost - Itens Importados</t>
  </si>
  <si>
    <t>BOM USD unitário x Qtd x Câmbio, somado nos 47 itens importados precificados</t>
  </si>
  <si>
    <t>-</t>
  </si>
  <si>
    <t>Aba Final Cost List, coluna F (BOM Price USD Unit) x coluna E (Quantity), câmbio da aba 'RATES' do Material Pricing.xlsm</t>
  </si>
  <si>
    <t>Raw Cost - Itens PAC</t>
  </si>
  <si>
    <t>Soma do custo unitário PAC (BRL) x Qtd nos 88 itens PAC</t>
  </si>
  <si>
    <t>Campo 'aco_cost' do 7-PAC Item Costs.xlsx por item, já é custo de fabricação local completo (material+mão de obra+overhead)</t>
  </si>
  <si>
    <t>TP - Transfer Price</t>
  </si>
  <si>
    <t>13% nos itens que já tinham algum TP historicamente; 17,2% nos que não tinham nenhum</t>
  </si>
  <si>
    <t>Diretriz do Matheus nesta sessão; a divisão 17,2%/0% original veio da cópia colorida de revisão (amarelo/verde)</t>
  </si>
  <si>
    <t>Frete Internacional</t>
  </si>
  <si>
    <t>1,2295642% sobre (Raw Cost + TP)</t>
  </si>
  <si>
    <t>'Planilha de Custos de Importação - Pathfinder - Set 26.xlsx' (cotação do despachante China Gate), Frete+Seguro / Valor do Produto</t>
  </si>
  <si>
    <t>II - Imposto de Importação</t>
  </si>
  <si>
    <t>Blended 17.96% sobre (Raw Cost+TP+Frete): taxa real por NCM pros 6 itens com NCM confirmado, pior caso 18% flat pros outros 41</t>
  </si>
  <si>
    <t>Aba 'II' do Material Pricing.xlsm (consulta real por NCM) + nossa taxa flat antiga como fallback</t>
  </si>
  <si>
    <t>Frete Nacional</t>
  </si>
  <si>
    <t>Cotação real fixa pra remessa inteira (Santos -&gt; Betim/Contagem, MG)</t>
  </si>
  <si>
    <t>Cotação China Gate, aba 'Despesas de Importação': Siscomex, despachante, armazenagem, transporte rodoviário, Marinha Mercante, etc.</t>
  </si>
  <si>
    <t>Supermetal - Integração/Montagem GDT</t>
  </si>
  <si>
    <t>Custo direto: reforma do vagão (teto, porta, escada, chicotes, skid de baterias, tubulação Fastbrake, ar condicionado, lastro)</t>
  </si>
  <si>
    <t>Aba 'GDT Integration and Assembly', soma da coluna Direct Cost BRL (18 itens)</t>
  </si>
  <si>
    <t>1.000x (baseline)</t>
  </si>
  <si>
    <t>2) MARGEM</t>
  </si>
  <si>
    <t>Base for margin</t>
  </si>
  <si>
    <t>Final Cost - TP; TP is excluded from the Brazilian margin base and is not added back to Net Price</t>
  </si>
  <si>
    <t>- O TP aparece na ponte de custo como componente de transferência WBT USA, mas a orientação comercial é não adicioná-lo novamente ao Preço Líquido brasileiro.</t>
  </si>
  <si>
    <t>Margem alvo (TDM)</t>
  </si>
  <si>
    <t>Editável - ver célula B4 da aba Resumo Executivo (P&amp;L)</t>
  </si>
  <si>
    <t>Alvo do Matheus pra esse exercício: 45%</t>
  </si>
  <si>
    <t>PREÇO LÍQUIDO ('NOSSO PREÇO') - TP não é somado novamente</t>
  </si>
  <si>
    <t>1.759x</t>
  </si>
  <si>
    <t>3) IMPOSTOS DE SAÍDA (o cliente paga; não afetam nossa margem)</t>
  </si>
  <si>
    <t>PIS/COFINS</t>
  </si>
  <si>
    <t>Preço Líquido / (1 - 10.06%) - por dentro, taxa blended real por NCM</t>
  </si>
  <si>
    <t>Aba 'II' do Material Pricing.xlsm (PIS+COFINS real por NCM) pros itens conhecidos, pior caso 9,25% pro resto</t>
  </si>
  <si>
    <t>ICMS</t>
  </si>
  <si>
    <t>Subtotal anterior / (1 - 18%) - por dentro, empilhado sobre PIS/COFINS</t>
  </si>
  <si>
    <t>18% flat, bate com o exemplo real da Material Pricing. AINDA NÃO validado contra a alíquota de ICMS específica do estado de destino do cliente (as abas Tabela ICMS / Aliquotas Basicas têm a matriz real origem-destino se precisar).</t>
  </si>
  <si>
    <t>IPI</t>
  </si>
  <si>
    <t>Subtotal anterior x IPI% blended - somado por fora, não é por dentro</t>
  </si>
  <si>
    <t>Aba 'II' do Material Pricing.xlsm (IPI real por NCM) pros itens conhecidos, pior caso 9,75% pro resto</t>
  </si>
  <si>
    <t>PREÇO FINAL AO CLIENTE:</t>
  </si>
  <si>
    <t>2.616x</t>
  </si>
  <si>
    <t>4) REGISTRO DE PREMISSAS (questione um input específico aqui, não o número todo)</t>
  </si>
  <si>
    <t>Premissa</t>
  </si>
  <si>
    <t>Valor Usado</t>
  </si>
  <si>
    <t>Confiança</t>
  </si>
  <si>
    <t>Onde pode estar errado</t>
  </si>
  <si>
    <t>Câmbio</t>
  </si>
  <si>
    <t>5,10 BRL/USD</t>
  </si>
  <si>
    <t>Média</t>
  </si>
  <si>
    <t>Foto fixa do Material Pricing.xlsm; vai variar com o câmbio real na data da fatura</t>
  </si>
  <si>
    <t>Divisão da taxa de TP</t>
  </si>
  <si>
    <t>13% / 17,2%</t>
  </si>
  <si>
    <t>Baixa-Média</t>
  </si>
  <si>
    <t>Divisão arbitrária escolhida nesta sessão, não vem de um documento oficial de política de transfer pricing da Wabtec</t>
  </si>
  <si>
    <t>1,23% do valor</t>
  </si>
  <si>
    <t>Alta</t>
  </si>
  <si>
    <t>Cotação real do despachante, mas é só uma simulação pelo próprio aviso da cotação - confirmar com booking real</t>
  </si>
  <si>
    <t>R$21.753,10 fixo</t>
  </si>
  <si>
    <t>Cotação real específica pra Santos-&gt;Betim/Contagem; muda se origem/destino mudar</t>
  </si>
  <si>
    <t>II (Imposto de Importação)</t>
  </si>
  <si>
    <t>17,96% blended (6 de 47 itens importados com NCM real)</t>
  </si>
  <si>
    <t>41 dos 47 itens importados ainda usam o pior caso 18% padrão - sem NCM confirmado pra eles ainda</t>
  </si>
  <si>
    <t>10,06% blended</t>
  </si>
  <si>
    <t>Mesma lacuna de cobertura de NCM que o II</t>
  </si>
  <si>
    <t>9,69% blended</t>
  </si>
  <si>
    <t>18% flat</t>
  </si>
  <si>
    <t>Não consultado por par origem-destino UF; taxa real pode ser menor (interestadual) ou ter redução RBC</t>
  </si>
  <si>
    <t>Total Deal Margin (TDM)</t>
  </si>
  <si>
    <t>45%</t>
  </si>
  <si>
    <t>N/A - decisão de negócio</t>
  </si>
  <si>
    <t>Essa é a maior alavanca isolada do preço final - ver tabela de sensibilidade abaixo</t>
  </si>
  <si>
    <t>Itens PAC</t>
  </si>
  <si>
    <t>Tratados como um bloco único all-in, sem decompor TP/frete/duty</t>
  </si>
  <si>
    <t>Custo PAC é genuinamente um custo de fabricação local brasileiro, não uma transação de importação</t>
  </si>
  <si>
    <t>Itens faltantes</t>
  </si>
  <si>
    <t>27 itens excluídos (ainda sem custo)</t>
  </si>
  <si>
    <t>N/A</t>
  </si>
  <si>
    <t>Preço final vai aumentar quando esses tiverem cotação - ver aba 'Missing Items'</t>
  </si>
  <si>
    <t>Supermetal / rollup GDT</t>
  </si>
  <si>
    <t>Tratado como custo local, sem imposto de importação (correto, é mão de obra+material brasileiro)</t>
  </si>
  <si>
    <t>Ainda não inclui ISS (imposto sobre serviço) na parte de mão de obra - desconsiderado por enquanto a pedido do Matheus</t>
  </si>
  <si>
    <t>5) SENSIBILIDADE DA MARGEM (mesma base de custo, TDM diferentes)</t>
  </si>
  <si>
    <t>TDM</t>
  </si>
  <si>
    <t>Preço Líquido (Nosso Preço) USD</t>
  </si>
  <si>
    <t>Preço Final ao Cliente USD</t>
  </si>
  <si>
    <t>Notas:</t>
  </si>
  <si>
    <t>- Esta aba é complementar à 'Resumo Executivo (P&amp;L)' - mesmos números, mas cada linha se explica.</t>
  </si>
  <si>
    <t>- QQP (impostos de serviço) e ISS na parte de mão de obra da Supermetal foram desconsiderados por enquanto, a pedido - o preço final pode aumentar quando isso for incluído.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</si>
</sst>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\ #,##0.00"/>
    <numFmt numFmtId="165" formatCode="\R\$\ 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3" borderId="1" xfId="0" applyFont="1" applyFill="1" applyBorder="1"/>
    <xf numFmtId="10" fontId="3" fillId="3" borderId="1" xfId="0" applyNumberFormat="1" applyFont="1" applyFill="1" applyBorder="1"/>
    <xf numFmtId="0" fontId="4" fillId="0" borderId="0" xfId="0" applyFont="1"/>
    <xf numFmtId="10" fontId="0" fillId="3" borderId="1" xfId="0" applyNumberFormat="1" applyFill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164" fontId="3" fillId="3" borderId="1" xfId="0" applyNumberFormat="1" applyFont="1" applyFill="1" applyBorder="1"/>
    <xf numFmtId="164" fontId="6" fillId="4" borderId="0" xfId="0" applyNumberFormat="1" applyFont="1" applyFill="1"/>
    <xf numFmtId="10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10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workbookViewId="0">
      <pane ySplit="3" topLeftCell="A4" activePane="bottomLeft" state="frozen"/>
      <selection pane="bottomLeft" activeCell="D7" sqref="D7"/>
    </sheetView>
  </sheetViews>
  <sheetFormatPr defaultRowHeight="15" x14ac:dyDescent="0.25"/>
  <cols>
    <col min="1" max="1" width="22" customWidth="1"/>
    <col min="2" max="2" width="42" customWidth="1"/>
    <col min="3" max="3" width="26" customWidth="1"/>
    <col min="4" max="4" width="22" customWidth="1"/>
    <col min="5" max="5" width="10" customWidth="1"/>
    <col min="6" max="8" width="20" customWidth="1"/>
    <col min="9" max="9" width="12" customWidth="1"/>
    <col min="10" max="10" width="14" customWidth="1"/>
    <col min="11" max="11" width="12" customWidth="1"/>
    <col min="12" max="12" width="22" customWidth="1"/>
    <col min="13" max="13" width="30" customWidth="1"/>
  </cols>
  <sheetData>
    <row r="1" spans="1:13" ht="17.25" customHeight="1" x14ac:dyDescent="0.3">
      <c r="A1" s="23" t="s">
        <v>37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ht="45" customHeight="1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48</v>
      </c>
      <c r="L3" s="1" t="s">
        <v>49</v>
      </c>
      <c r="M3" s="1" t="s">
        <v>50</v>
      </c>
    </row>
    <row r="4" spans="1:13" x14ac:dyDescent="0.25">
      <c r="A4" t="s">
        <v>51</v>
      </c>
      <c r="B4" t="s">
        <v>52</v>
      </c>
      <c r="C4" t="s">
        <v>53</v>
      </c>
      <c r="D4" t="s">
        <v>54</v>
      </c>
      <c r="E4">
        <v>1</v>
      </c>
      <c r="F4" t="s">
        <v>55</v>
      </c>
      <c r="G4" s="2">
        <v>63100.819199999998</v>
      </c>
      <c r="H4" s="3"/>
      <c r="I4" s="4">
        <v>4.5359999999999996</v>
      </c>
      <c r="J4" t="s">
        <v>56</v>
      </c>
      <c r="K4" t="s">
        <v>57</v>
      </c>
    </row>
    <row r="5" spans="1:13" x14ac:dyDescent="0.25">
      <c r="A5" t="s">
        <v>58</v>
      </c>
      <c r="B5" t="s">
        <v>59</v>
      </c>
      <c r="C5" t="s">
        <v>60</v>
      </c>
      <c r="D5" t="s">
        <v>61</v>
      </c>
      <c r="E5">
        <v>1</v>
      </c>
      <c r="F5" t="s">
        <v>55</v>
      </c>
      <c r="G5" s="2">
        <v>28529</v>
      </c>
      <c r="H5" s="3"/>
      <c r="I5" s="4">
        <v>45.359000000000002</v>
      </c>
      <c r="J5" t="s">
        <v>56</v>
      </c>
    </row>
    <row r="6" spans="1:13" x14ac:dyDescent="0.25">
      <c r="A6" t="s">
        <v>62</v>
      </c>
      <c r="B6" t="s">
        <v>63</v>
      </c>
      <c r="C6" t="s">
        <v>64</v>
      </c>
      <c r="D6" t="s">
        <v>65</v>
      </c>
      <c r="E6">
        <v>2</v>
      </c>
      <c r="F6" t="s">
        <v>55</v>
      </c>
      <c r="G6" s="2">
        <v>15685.42</v>
      </c>
      <c r="H6" s="3"/>
      <c r="I6" s="4">
        <v>1123.095</v>
      </c>
      <c r="J6" t="s">
        <v>56</v>
      </c>
    </row>
    <row r="7" spans="1:13" x14ac:dyDescent="0.25">
      <c r="A7" t="s">
        <v>66</v>
      </c>
      <c r="B7" t="s">
        <v>67</v>
      </c>
      <c r="C7" t="s">
        <v>68</v>
      </c>
      <c r="D7" t="s">
        <v>69</v>
      </c>
      <c r="E7">
        <v>1</v>
      </c>
      <c r="F7" t="s">
        <v>55</v>
      </c>
      <c r="G7" s="2">
        <v>30000</v>
      </c>
      <c r="H7" s="3"/>
      <c r="I7" s="4">
        <v>136.078</v>
      </c>
      <c r="J7" t="s">
        <v>56</v>
      </c>
    </row>
    <row r="8" spans="1:13" x14ac:dyDescent="0.25">
      <c r="A8" t="s">
        <v>70</v>
      </c>
      <c r="B8" t="s">
        <v>71</v>
      </c>
      <c r="C8" t="s">
        <v>72</v>
      </c>
      <c r="D8" t="s">
        <v>73</v>
      </c>
      <c r="E8">
        <v>1</v>
      </c>
      <c r="F8" t="s">
        <v>55</v>
      </c>
      <c r="G8" s="2">
        <v>23409.1</v>
      </c>
      <c r="H8" s="3"/>
      <c r="I8" s="4">
        <v>134.26300000000001</v>
      </c>
      <c r="J8" t="s">
        <v>56</v>
      </c>
    </row>
    <row r="9" spans="1:13" x14ac:dyDescent="0.25">
      <c r="A9" t="s">
        <v>74</v>
      </c>
      <c r="B9" t="s">
        <v>75</v>
      </c>
      <c r="C9" t="s">
        <v>60</v>
      </c>
      <c r="D9" t="s">
        <v>60</v>
      </c>
      <c r="E9">
        <v>1</v>
      </c>
      <c r="F9" t="s">
        <v>55</v>
      </c>
      <c r="G9" s="2">
        <v>20000</v>
      </c>
      <c r="H9" s="3"/>
      <c r="I9" s="4">
        <v>9.6159999999999997</v>
      </c>
      <c r="J9" t="s">
        <v>56</v>
      </c>
    </row>
    <row r="10" spans="1:13" x14ac:dyDescent="0.25">
      <c r="A10" t="s">
        <v>76</v>
      </c>
      <c r="B10" t="s">
        <v>77</v>
      </c>
      <c r="C10" t="s">
        <v>53</v>
      </c>
      <c r="D10" t="s">
        <v>78</v>
      </c>
      <c r="E10">
        <v>3</v>
      </c>
      <c r="F10" t="s">
        <v>55</v>
      </c>
      <c r="G10" s="2">
        <v>5176.9117999999999</v>
      </c>
      <c r="H10" s="3"/>
      <c r="I10" s="4">
        <v>8.6180000000000003</v>
      </c>
      <c r="J10" t="s">
        <v>56</v>
      </c>
    </row>
    <row r="11" spans="1:13" x14ac:dyDescent="0.25">
      <c r="A11" t="s">
        <v>79</v>
      </c>
      <c r="B11" t="s">
        <v>80</v>
      </c>
      <c r="C11" t="s">
        <v>53</v>
      </c>
      <c r="D11" t="s">
        <v>81</v>
      </c>
      <c r="E11">
        <v>2</v>
      </c>
      <c r="F11" t="s">
        <v>55</v>
      </c>
      <c r="G11" s="2">
        <v>5000</v>
      </c>
      <c r="H11" s="3"/>
      <c r="I11" s="4">
        <v>2.2679999999999998</v>
      </c>
      <c r="J11" t="s">
        <v>56</v>
      </c>
    </row>
    <row r="12" spans="1:13" x14ac:dyDescent="0.25">
      <c r="A12" t="s">
        <v>82</v>
      </c>
      <c r="B12" t="s">
        <v>83</v>
      </c>
      <c r="C12" t="s">
        <v>53</v>
      </c>
      <c r="D12" t="s">
        <v>81</v>
      </c>
      <c r="E12">
        <v>1</v>
      </c>
      <c r="F12" t="s">
        <v>55</v>
      </c>
      <c r="G12" s="2">
        <v>8000</v>
      </c>
      <c r="H12" s="3"/>
      <c r="I12" s="4">
        <v>9.0719999999999992</v>
      </c>
      <c r="J12" t="s">
        <v>56</v>
      </c>
    </row>
    <row r="13" spans="1:13" x14ac:dyDescent="0.25">
      <c r="A13" t="s">
        <v>84</v>
      </c>
      <c r="B13" t="s">
        <v>85</v>
      </c>
      <c r="C13" t="s">
        <v>86</v>
      </c>
      <c r="D13" t="s">
        <v>87</v>
      </c>
      <c r="E13">
        <v>1</v>
      </c>
      <c r="F13" t="s">
        <v>88</v>
      </c>
      <c r="G13" s="2"/>
      <c r="H13" s="3">
        <v>58447.152118179998</v>
      </c>
      <c r="I13" s="4">
        <v>20.411999999999999</v>
      </c>
      <c r="J13" t="s">
        <v>56</v>
      </c>
      <c r="K13" t="s">
        <v>89</v>
      </c>
    </row>
    <row r="14" spans="1:13" x14ac:dyDescent="0.25">
      <c r="A14" t="s">
        <v>90</v>
      </c>
      <c r="B14" t="s">
        <v>91</v>
      </c>
      <c r="C14" t="s">
        <v>53</v>
      </c>
      <c r="D14" t="s">
        <v>81</v>
      </c>
      <c r="E14">
        <v>1</v>
      </c>
      <c r="F14" t="s">
        <v>92</v>
      </c>
      <c r="G14" s="2">
        <v>5877.1019999999999</v>
      </c>
      <c r="H14" s="3"/>
      <c r="I14" s="4">
        <v>25.855</v>
      </c>
      <c r="J14" t="s">
        <v>56</v>
      </c>
    </row>
    <row r="15" spans="1:13" x14ac:dyDescent="0.25">
      <c r="A15" t="s">
        <v>93</v>
      </c>
      <c r="B15" t="s">
        <v>94</v>
      </c>
      <c r="C15" t="s">
        <v>72</v>
      </c>
      <c r="D15" t="s">
        <v>73</v>
      </c>
      <c r="E15">
        <v>1</v>
      </c>
      <c r="F15" t="s">
        <v>55</v>
      </c>
      <c r="G15" s="2">
        <v>5702.83</v>
      </c>
      <c r="H15" s="3"/>
      <c r="I15" s="4">
        <v>7.9379999999999997</v>
      </c>
      <c r="J15" t="s">
        <v>56</v>
      </c>
    </row>
    <row r="16" spans="1:13" x14ac:dyDescent="0.25">
      <c r="A16" t="s">
        <v>95</v>
      </c>
      <c r="B16" t="s">
        <v>96</v>
      </c>
      <c r="C16" t="s">
        <v>53</v>
      </c>
      <c r="D16" t="s">
        <v>78</v>
      </c>
      <c r="E16">
        <v>1</v>
      </c>
      <c r="F16" t="s">
        <v>55</v>
      </c>
      <c r="G16" s="2">
        <v>4150.9558999999999</v>
      </c>
      <c r="H16" s="3"/>
      <c r="I16" s="4">
        <v>4.99</v>
      </c>
      <c r="J16" t="s">
        <v>56</v>
      </c>
    </row>
    <row r="17" spans="1:13" x14ac:dyDescent="0.25">
      <c r="A17" t="s">
        <v>97</v>
      </c>
      <c r="B17" t="s">
        <v>98</v>
      </c>
      <c r="C17" t="s">
        <v>68</v>
      </c>
      <c r="D17" t="s">
        <v>99</v>
      </c>
      <c r="E17">
        <v>1</v>
      </c>
      <c r="F17" t="s">
        <v>55</v>
      </c>
      <c r="G17" s="2">
        <v>3933</v>
      </c>
      <c r="H17" s="3"/>
      <c r="I17" s="4">
        <v>7.5750000000000002</v>
      </c>
      <c r="J17" t="s">
        <v>56</v>
      </c>
    </row>
    <row r="18" spans="1:13" x14ac:dyDescent="0.25">
      <c r="A18" t="s">
        <v>100</v>
      </c>
      <c r="B18" t="s">
        <v>101</v>
      </c>
      <c r="C18" t="s">
        <v>60</v>
      </c>
      <c r="D18" t="s">
        <v>60</v>
      </c>
      <c r="E18">
        <v>1</v>
      </c>
      <c r="F18" t="s">
        <v>55</v>
      </c>
      <c r="G18" s="2">
        <v>2981.71</v>
      </c>
      <c r="H18" s="3"/>
      <c r="I18" s="4">
        <v>4.5359999999999996</v>
      </c>
      <c r="J18" t="s">
        <v>56</v>
      </c>
    </row>
    <row r="19" spans="1:13" x14ac:dyDescent="0.25">
      <c r="A19" t="s">
        <v>102</v>
      </c>
      <c r="B19" t="s">
        <v>103</v>
      </c>
      <c r="C19" t="s">
        <v>65</v>
      </c>
      <c r="D19" t="s">
        <v>104</v>
      </c>
      <c r="E19">
        <v>1</v>
      </c>
      <c r="F19" t="s">
        <v>88</v>
      </c>
      <c r="G19" s="2"/>
      <c r="H19" s="3">
        <v>15041.53990717839</v>
      </c>
      <c r="I19" s="4">
        <v>18.143999999999998</v>
      </c>
      <c r="J19" t="s">
        <v>56</v>
      </c>
      <c r="K19" t="s">
        <v>105</v>
      </c>
      <c r="L19" t="s">
        <v>106</v>
      </c>
    </row>
    <row r="20" spans="1:13" x14ac:dyDescent="0.25">
      <c r="A20" t="s">
        <v>107</v>
      </c>
      <c r="B20" t="s">
        <v>108</v>
      </c>
      <c r="C20" t="s">
        <v>64</v>
      </c>
      <c r="D20" t="s">
        <v>109</v>
      </c>
      <c r="E20">
        <v>1</v>
      </c>
      <c r="F20" t="s">
        <v>92</v>
      </c>
      <c r="G20" s="2">
        <v>1572.36</v>
      </c>
      <c r="H20" s="3"/>
      <c r="I20" s="4">
        <v>4.99</v>
      </c>
      <c r="J20" t="s">
        <v>56</v>
      </c>
      <c r="K20" t="s">
        <v>110</v>
      </c>
      <c r="L20" t="s">
        <v>111</v>
      </c>
    </row>
    <row r="21" spans="1:13" x14ac:dyDescent="0.25">
      <c r="A21" t="s">
        <v>112</v>
      </c>
      <c r="B21" t="s">
        <v>113</v>
      </c>
      <c r="C21" t="s">
        <v>53</v>
      </c>
      <c r="D21" t="s">
        <v>81</v>
      </c>
      <c r="E21">
        <v>1</v>
      </c>
      <c r="F21" t="s">
        <v>55</v>
      </c>
      <c r="G21" s="2">
        <v>1891.99</v>
      </c>
      <c r="H21" s="3"/>
      <c r="I21" s="4">
        <v>4.5359999999999996</v>
      </c>
      <c r="J21" t="s">
        <v>56</v>
      </c>
    </row>
    <row r="22" spans="1:13" x14ac:dyDescent="0.25">
      <c r="B22" t="s">
        <v>114</v>
      </c>
      <c r="C22" t="s">
        <v>53</v>
      </c>
      <c r="D22" t="s">
        <v>81</v>
      </c>
      <c r="E22">
        <v>2</v>
      </c>
      <c r="F22" t="s">
        <v>55</v>
      </c>
      <c r="G22" s="2">
        <v>800</v>
      </c>
      <c r="H22" s="3"/>
      <c r="I22" s="4">
        <v>2.2679999999999998</v>
      </c>
      <c r="J22" t="s">
        <v>56</v>
      </c>
    </row>
    <row r="23" spans="1:13" x14ac:dyDescent="0.25">
      <c r="B23" t="s">
        <v>115</v>
      </c>
      <c r="C23" t="s">
        <v>53</v>
      </c>
      <c r="D23" t="s">
        <v>81</v>
      </c>
      <c r="E23">
        <v>4</v>
      </c>
      <c r="F23" t="s">
        <v>55</v>
      </c>
      <c r="G23" s="2">
        <v>375</v>
      </c>
      <c r="H23" s="3"/>
      <c r="I23" s="4">
        <v>0.90700000000000003</v>
      </c>
      <c r="J23" t="s">
        <v>56</v>
      </c>
    </row>
    <row r="24" spans="1:13" x14ac:dyDescent="0.25">
      <c r="A24" t="s">
        <v>116</v>
      </c>
      <c r="B24" t="s">
        <v>117</v>
      </c>
      <c r="C24" t="s">
        <v>53</v>
      </c>
      <c r="D24" t="s">
        <v>78</v>
      </c>
      <c r="E24">
        <v>1</v>
      </c>
      <c r="F24" t="s">
        <v>88</v>
      </c>
      <c r="G24" s="2"/>
      <c r="H24" s="3">
        <v>11603.7169581856</v>
      </c>
      <c r="I24" s="4">
        <v>9.2989999999999995</v>
      </c>
      <c r="J24" t="s">
        <v>56</v>
      </c>
      <c r="K24" t="s">
        <v>118</v>
      </c>
      <c r="L24" t="s">
        <v>119</v>
      </c>
    </row>
    <row r="25" spans="1:13" x14ac:dyDescent="0.25">
      <c r="A25" t="s">
        <v>120</v>
      </c>
      <c r="B25" t="s">
        <v>121</v>
      </c>
      <c r="C25" t="s">
        <v>86</v>
      </c>
      <c r="D25" t="s">
        <v>87</v>
      </c>
      <c r="E25">
        <v>1</v>
      </c>
      <c r="F25" t="s">
        <v>88</v>
      </c>
      <c r="G25" s="2"/>
      <c r="H25" s="3">
        <v>11603.7169581856</v>
      </c>
      <c r="I25" s="4">
        <v>9.2989999999999995</v>
      </c>
      <c r="J25" t="s">
        <v>56</v>
      </c>
      <c r="K25" t="s">
        <v>118</v>
      </c>
      <c r="L25" t="s">
        <v>119</v>
      </c>
    </row>
    <row r="26" spans="1:13" x14ac:dyDescent="0.25">
      <c r="A26" t="s">
        <v>122</v>
      </c>
      <c r="B26" t="s">
        <v>123</v>
      </c>
      <c r="C26" t="s">
        <v>53</v>
      </c>
      <c r="D26" t="s">
        <v>81</v>
      </c>
      <c r="E26">
        <v>1</v>
      </c>
      <c r="F26" t="s">
        <v>88</v>
      </c>
      <c r="G26" s="2"/>
      <c r="H26" s="3">
        <v>9491.4570826509171</v>
      </c>
      <c r="I26" s="4">
        <v>8.1189999999999998</v>
      </c>
      <c r="J26" t="s">
        <v>56</v>
      </c>
      <c r="K26" t="s">
        <v>124</v>
      </c>
      <c r="L26" t="s">
        <v>125</v>
      </c>
    </row>
    <row r="27" spans="1:13" x14ac:dyDescent="0.25">
      <c r="A27" t="s">
        <v>126</v>
      </c>
      <c r="B27" t="s">
        <v>127</v>
      </c>
      <c r="C27" t="s">
        <v>128</v>
      </c>
      <c r="D27" t="s">
        <v>127</v>
      </c>
      <c r="E27">
        <v>1</v>
      </c>
      <c r="F27" t="s">
        <v>88</v>
      </c>
      <c r="G27" s="2"/>
      <c r="H27" s="3">
        <v>9251.1238975231608</v>
      </c>
      <c r="I27" s="4">
        <v>1.1140000000000001</v>
      </c>
      <c r="J27" t="s">
        <v>56</v>
      </c>
      <c r="K27" t="s">
        <v>129</v>
      </c>
      <c r="L27" t="s">
        <v>130</v>
      </c>
    </row>
    <row r="28" spans="1:13" x14ac:dyDescent="0.25">
      <c r="A28" t="s">
        <v>131</v>
      </c>
      <c r="B28" t="s">
        <v>132</v>
      </c>
      <c r="C28" t="s">
        <v>72</v>
      </c>
      <c r="D28" t="s">
        <v>73</v>
      </c>
      <c r="E28">
        <v>1</v>
      </c>
      <c r="F28" t="s">
        <v>55</v>
      </c>
      <c r="G28" s="2">
        <v>1036.8900000000001</v>
      </c>
      <c r="H28" s="3"/>
      <c r="I28" s="4">
        <v>1.2470000000000001</v>
      </c>
      <c r="J28" t="s">
        <v>133</v>
      </c>
    </row>
    <row r="29" spans="1:13" x14ac:dyDescent="0.25">
      <c r="A29" t="s">
        <v>134</v>
      </c>
      <c r="B29" t="s">
        <v>135</v>
      </c>
      <c r="C29" t="s">
        <v>86</v>
      </c>
      <c r="D29" t="s">
        <v>53</v>
      </c>
      <c r="E29">
        <v>1</v>
      </c>
      <c r="F29" t="s">
        <v>92</v>
      </c>
      <c r="G29" s="2"/>
      <c r="H29" s="3"/>
      <c r="I29" s="4">
        <v>2.859</v>
      </c>
      <c r="J29" t="s">
        <v>56</v>
      </c>
      <c r="K29" t="s">
        <v>136</v>
      </c>
      <c r="L29" t="s">
        <v>137</v>
      </c>
    </row>
    <row r="30" spans="1:13" x14ac:dyDescent="0.25">
      <c r="A30" t="s">
        <v>138</v>
      </c>
      <c r="B30" t="s">
        <v>139</v>
      </c>
      <c r="C30" t="s">
        <v>86</v>
      </c>
      <c r="D30" t="s">
        <v>53</v>
      </c>
      <c r="E30">
        <v>20</v>
      </c>
      <c r="F30" t="s">
        <v>88</v>
      </c>
      <c r="G30" s="2"/>
      <c r="H30" s="3">
        <v>326.22300552941232</v>
      </c>
      <c r="I30" s="4">
        <v>5.3999999999999999E-2</v>
      </c>
      <c r="J30" t="s">
        <v>140</v>
      </c>
      <c r="K30" t="s">
        <v>141</v>
      </c>
      <c r="L30" t="s">
        <v>142</v>
      </c>
      <c r="M30" t="s">
        <v>143</v>
      </c>
    </row>
    <row r="31" spans="1:13" x14ac:dyDescent="0.25">
      <c r="A31" t="s">
        <v>144</v>
      </c>
      <c r="B31" t="s">
        <v>145</v>
      </c>
      <c r="C31" t="s">
        <v>68</v>
      </c>
      <c r="D31" t="s">
        <v>99</v>
      </c>
      <c r="E31">
        <v>1</v>
      </c>
      <c r="F31" t="s">
        <v>55</v>
      </c>
      <c r="G31" s="2">
        <v>761</v>
      </c>
      <c r="H31" s="3"/>
    </row>
    <row r="32" spans="1:13" x14ac:dyDescent="0.25">
      <c r="A32" t="s">
        <v>146</v>
      </c>
      <c r="B32" t="s">
        <v>147</v>
      </c>
      <c r="C32" t="s">
        <v>64</v>
      </c>
      <c r="D32" t="s">
        <v>65</v>
      </c>
      <c r="E32">
        <v>1</v>
      </c>
      <c r="F32" t="s">
        <v>92</v>
      </c>
      <c r="G32" s="2"/>
      <c r="H32" s="3"/>
      <c r="I32" s="4">
        <v>5.7610000000000001</v>
      </c>
      <c r="J32" t="s">
        <v>56</v>
      </c>
      <c r="K32" t="s">
        <v>89</v>
      </c>
      <c r="L32" t="s">
        <v>148</v>
      </c>
    </row>
    <row r="33" spans="1:12" x14ac:dyDescent="0.25">
      <c r="A33" t="s">
        <v>149</v>
      </c>
      <c r="B33" t="s">
        <v>150</v>
      </c>
      <c r="C33" t="s">
        <v>60</v>
      </c>
      <c r="D33" t="s">
        <v>60</v>
      </c>
      <c r="E33">
        <v>1</v>
      </c>
      <c r="F33" t="s">
        <v>55</v>
      </c>
      <c r="G33" s="2">
        <v>595.78890000000001</v>
      </c>
      <c r="H33" s="3"/>
      <c r="I33" s="4">
        <v>5.8970000000000002</v>
      </c>
      <c r="J33" t="s">
        <v>133</v>
      </c>
      <c r="K33" t="s">
        <v>151</v>
      </c>
    </row>
    <row r="34" spans="1:12" x14ac:dyDescent="0.25">
      <c r="A34" t="s">
        <v>152</v>
      </c>
      <c r="B34" t="s">
        <v>153</v>
      </c>
      <c r="C34" t="s">
        <v>53</v>
      </c>
      <c r="D34" t="s">
        <v>81</v>
      </c>
      <c r="E34">
        <v>30</v>
      </c>
      <c r="F34" t="s">
        <v>88</v>
      </c>
      <c r="G34" s="2"/>
      <c r="H34" s="3">
        <v>127.4757723945537</v>
      </c>
      <c r="I34" s="4">
        <v>4.4999999999999998E-2</v>
      </c>
      <c r="J34" t="s">
        <v>56</v>
      </c>
      <c r="K34" t="s">
        <v>154</v>
      </c>
      <c r="L34" t="s">
        <v>155</v>
      </c>
    </row>
    <row r="35" spans="1:12" x14ac:dyDescent="0.25">
      <c r="A35" t="s">
        <v>156</v>
      </c>
      <c r="B35" t="s">
        <v>157</v>
      </c>
      <c r="C35" t="s">
        <v>60</v>
      </c>
      <c r="D35" t="s">
        <v>60</v>
      </c>
      <c r="E35">
        <v>1</v>
      </c>
      <c r="F35" t="s">
        <v>55</v>
      </c>
      <c r="G35" s="2">
        <v>411.22</v>
      </c>
      <c r="H35" s="3"/>
    </row>
    <row r="36" spans="1:12" x14ac:dyDescent="0.25">
      <c r="A36" t="s">
        <v>158</v>
      </c>
      <c r="B36" t="s">
        <v>159</v>
      </c>
      <c r="C36" t="s">
        <v>60</v>
      </c>
      <c r="D36" t="s">
        <v>60</v>
      </c>
      <c r="E36">
        <v>1</v>
      </c>
      <c r="F36" t="s">
        <v>55</v>
      </c>
      <c r="G36" s="2">
        <v>404.62389999999999</v>
      </c>
      <c r="H36" s="3"/>
    </row>
    <row r="37" spans="1:12" x14ac:dyDescent="0.25">
      <c r="A37" t="s">
        <v>160</v>
      </c>
      <c r="B37" t="s">
        <v>161</v>
      </c>
      <c r="C37" t="s">
        <v>53</v>
      </c>
      <c r="D37" t="s">
        <v>81</v>
      </c>
      <c r="E37">
        <v>2</v>
      </c>
      <c r="F37" t="s">
        <v>88</v>
      </c>
      <c r="G37" s="2"/>
      <c r="H37" s="3">
        <v>1480.863670329737</v>
      </c>
      <c r="I37" s="4">
        <v>2.4039999999999999</v>
      </c>
      <c r="J37" t="s">
        <v>56</v>
      </c>
      <c r="K37" t="s">
        <v>162</v>
      </c>
      <c r="L37" t="s">
        <v>163</v>
      </c>
    </row>
    <row r="38" spans="1:12" x14ac:dyDescent="0.25">
      <c r="A38" t="s">
        <v>164</v>
      </c>
      <c r="B38" t="s">
        <v>165</v>
      </c>
      <c r="C38" t="s">
        <v>53</v>
      </c>
      <c r="D38" t="s">
        <v>81</v>
      </c>
      <c r="E38">
        <v>1</v>
      </c>
      <c r="F38" t="s">
        <v>88</v>
      </c>
      <c r="G38" s="2"/>
      <c r="H38" s="3">
        <v>2843.3768686057151</v>
      </c>
      <c r="I38" s="4">
        <v>0.41099999999999998</v>
      </c>
      <c r="J38" t="s">
        <v>56</v>
      </c>
      <c r="K38" t="s">
        <v>166</v>
      </c>
      <c r="L38" t="s">
        <v>167</v>
      </c>
    </row>
    <row r="39" spans="1:12" x14ac:dyDescent="0.25">
      <c r="A39" t="s">
        <v>168</v>
      </c>
      <c r="B39" t="s">
        <v>169</v>
      </c>
      <c r="C39" t="s">
        <v>53</v>
      </c>
      <c r="D39" t="s">
        <v>78</v>
      </c>
      <c r="E39">
        <v>1</v>
      </c>
      <c r="F39" t="s">
        <v>88</v>
      </c>
      <c r="G39" s="2"/>
      <c r="H39" s="3">
        <v>2534.8866724287632</v>
      </c>
      <c r="I39" s="4">
        <v>4.2469999999999999</v>
      </c>
      <c r="J39" t="s">
        <v>56</v>
      </c>
      <c r="K39" t="s">
        <v>170</v>
      </c>
      <c r="L39" t="s">
        <v>171</v>
      </c>
    </row>
    <row r="40" spans="1:12" x14ac:dyDescent="0.25">
      <c r="A40" t="s">
        <v>172</v>
      </c>
      <c r="B40" t="s">
        <v>173</v>
      </c>
      <c r="C40" t="s">
        <v>53</v>
      </c>
      <c r="D40" t="s">
        <v>81</v>
      </c>
      <c r="E40">
        <v>1</v>
      </c>
      <c r="F40" t="s">
        <v>88</v>
      </c>
      <c r="G40" s="2"/>
      <c r="H40" s="3">
        <v>2382.3747486899379</v>
      </c>
      <c r="I40" s="4">
        <v>3.629</v>
      </c>
      <c r="J40" t="s">
        <v>56</v>
      </c>
      <c r="K40" t="s">
        <v>174</v>
      </c>
      <c r="L40" t="s">
        <v>175</v>
      </c>
    </row>
    <row r="41" spans="1:12" x14ac:dyDescent="0.25">
      <c r="A41" t="s">
        <v>176</v>
      </c>
      <c r="B41" t="s">
        <v>177</v>
      </c>
      <c r="C41" t="s">
        <v>53</v>
      </c>
      <c r="D41" t="s">
        <v>78</v>
      </c>
      <c r="E41">
        <v>1</v>
      </c>
      <c r="F41" t="s">
        <v>88</v>
      </c>
      <c r="G41" s="2"/>
      <c r="H41" s="3">
        <v>2132.2443180400001</v>
      </c>
      <c r="I41" s="4">
        <v>0.22700000000000001</v>
      </c>
      <c r="J41" t="s">
        <v>56</v>
      </c>
      <c r="K41" t="s">
        <v>178</v>
      </c>
      <c r="L41" t="s">
        <v>179</v>
      </c>
    </row>
    <row r="42" spans="1:12" x14ac:dyDescent="0.25">
      <c r="A42" t="s">
        <v>180</v>
      </c>
      <c r="B42" t="s">
        <v>181</v>
      </c>
      <c r="C42" t="s">
        <v>64</v>
      </c>
      <c r="D42" t="s">
        <v>65</v>
      </c>
      <c r="E42">
        <v>1</v>
      </c>
      <c r="F42" t="s">
        <v>88</v>
      </c>
      <c r="G42" s="2"/>
      <c r="H42" s="3">
        <v>1794.8024180411439</v>
      </c>
      <c r="I42" s="4">
        <v>4.4450000000000003</v>
      </c>
      <c r="J42" t="s">
        <v>56</v>
      </c>
      <c r="K42" t="s">
        <v>166</v>
      </c>
      <c r="L42" t="s">
        <v>182</v>
      </c>
    </row>
    <row r="43" spans="1:12" x14ac:dyDescent="0.25">
      <c r="A43" t="s">
        <v>183</v>
      </c>
      <c r="B43" t="s">
        <v>184</v>
      </c>
      <c r="C43" t="s">
        <v>60</v>
      </c>
      <c r="D43" t="s">
        <v>60</v>
      </c>
      <c r="E43">
        <v>1</v>
      </c>
      <c r="F43" t="s">
        <v>55</v>
      </c>
      <c r="G43" s="2">
        <v>205</v>
      </c>
      <c r="H43" s="3"/>
    </row>
    <row r="44" spans="1:12" x14ac:dyDescent="0.25">
      <c r="A44" t="s">
        <v>185</v>
      </c>
      <c r="B44" t="s">
        <v>186</v>
      </c>
      <c r="C44" t="s">
        <v>53</v>
      </c>
      <c r="D44" t="s">
        <v>187</v>
      </c>
      <c r="E44">
        <v>25</v>
      </c>
      <c r="F44" t="s">
        <v>55</v>
      </c>
      <c r="G44" s="2">
        <v>8.1180000000000003</v>
      </c>
      <c r="H44" s="3"/>
      <c r="I44" s="4">
        <v>0.22700000000000001</v>
      </c>
      <c r="J44" t="s">
        <v>56</v>
      </c>
      <c r="K44" t="s">
        <v>188</v>
      </c>
      <c r="L44" t="s">
        <v>189</v>
      </c>
    </row>
    <row r="45" spans="1:12" x14ac:dyDescent="0.25">
      <c r="A45" t="s">
        <v>190</v>
      </c>
      <c r="B45" t="s">
        <v>191</v>
      </c>
      <c r="C45" t="s">
        <v>53</v>
      </c>
      <c r="D45" t="s">
        <v>81</v>
      </c>
      <c r="E45">
        <v>1</v>
      </c>
      <c r="F45" t="s">
        <v>55</v>
      </c>
      <c r="G45" s="2">
        <v>171.54400000000001</v>
      </c>
      <c r="H45" s="3"/>
    </row>
    <row r="46" spans="1:12" x14ac:dyDescent="0.25">
      <c r="A46" t="s">
        <v>192</v>
      </c>
      <c r="B46" t="s">
        <v>193</v>
      </c>
      <c r="C46" t="s">
        <v>68</v>
      </c>
      <c r="D46" t="s">
        <v>99</v>
      </c>
      <c r="E46">
        <v>1</v>
      </c>
      <c r="F46" t="s">
        <v>55</v>
      </c>
      <c r="G46" s="2">
        <v>159</v>
      </c>
      <c r="H46" s="3"/>
    </row>
    <row r="47" spans="1:12" x14ac:dyDescent="0.25">
      <c r="A47" t="s">
        <v>194</v>
      </c>
      <c r="B47" t="s">
        <v>195</v>
      </c>
      <c r="C47" t="s">
        <v>53</v>
      </c>
      <c r="D47" t="s">
        <v>187</v>
      </c>
      <c r="E47">
        <v>2</v>
      </c>
      <c r="F47" t="s">
        <v>88</v>
      </c>
      <c r="G47" s="2"/>
      <c r="H47" s="3">
        <v>649.59726094590735</v>
      </c>
      <c r="I47" s="4">
        <v>9.0999999999999998E-2</v>
      </c>
      <c r="J47" t="s">
        <v>56</v>
      </c>
      <c r="K47" t="s">
        <v>162</v>
      </c>
      <c r="L47" t="s">
        <v>196</v>
      </c>
    </row>
    <row r="48" spans="1:12" x14ac:dyDescent="0.25">
      <c r="A48" t="s">
        <v>197</v>
      </c>
      <c r="B48" t="s">
        <v>198</v>
      </c>
      <c r="C48" t="s">
        <v>53</v>
      </c>
      <c r="D48" t="s">
        <v>81</v>
      </c>
      <c r="E48">
        <v>1</v>
      </c>
      <c r="F48" t="s">
        <v>88</v>
      </c>
      <c r="G48" s="2"/>
      <c r="H48" s="3">
        <v>1282.4547101025089</v>
      </c>
      <c r="I48" s="4">
        <v>0.96599999999999997</v>
      </c>
      <c r="J48" t="s">
        <v>56</v>
      </c>
      <c r="K48" t="s">
        <v>166</v>
      </c>
      <c r="L48" t="s">
        <v>199</v>
      </c>
    </row>
    <row r="49" spans="1:12" x14ac:dyDescent="0.25">
      <c r="A49" t="s">
        <v>200</v>
      </c>
      <c r="B49" t="s">
        <v>201</v>
      </c>
      <c r="C49" t="s">
        <v>53</v>
      </c>
      <c r="D49" t="s">
        <v>81</v>
      </c>
      <c r="E49">
        <v>1</v>
      </c>
      <c r="F49" t="s">
        <v>88</v>
      </c>
      <c r="G49" s="2"/>
      <c r="H49" s="3">
        <v>1139.620211260358</v>
      </c>
      <c r="I49" s="4">
        <v>0.46300000000000002</v>
      </c>
      <c r="J49" t="s">
        <v>56</v>
      </c>
      <c r="K49" t="s">
        <v>166</v>
      </c>
      <c r="L49" t="s">
        <v>202</v>
      </c>
    </row>
    <row r="50" spans="1:12" x14ac:dyDescent="0.25">
      <c r="A50" t="s">
        <v>203</v>
      </c>
      <c r="B50" t="s">
        <v>204</v>
      </c>
      <c r="C50" t="s">
        <v>53</v>
      </c>
      <c r="D50" t="s">
        <v>81</v>
      </c>
      <c r="E50">
        <v>1</v>
      </c>
      <c r="F50" t="s">
        <v>88</v>
      </c>
      <c r="G50" s="2"/>
      <c r="H50" s="3">
        <v>1117.5837630599999</v>
      </c>
      <c r="I50" s="4">
        <v>0.215</v>
      </c>
      <c r="J50" t="s">
        <v>56</v>
      </c>
      <c r="K50" t="s">
        <v>166</v>
      </c>
      <c r="L50" t="s">
        <v>205</v>
      </c>
    </row>
    <row r="51" spans="1:12" x14ac:dyDescent="0.25">
      <c r="A51" t="s">
        <v>206</v>
      </c>
      <c r="B51" t="s">
        <v>207</v>
      </c>
      <c r="C51" t="s">
        <v>86</v>
      </c>
      <c r="D51" t="s">
        <v>87</v>
      </c>
      <c r="E51">
        <v>16</v>
      </c>
      <c r="F51" t="s">
        <v>88</v>
      </c>
      <c r="G51" s="2"/>
      <c r="H51" s="3">
        <v>63.812994765701909</v>
      </c>
      <c r="I51" s="4">
        <v>4.4999999999999998E-2</v>
      </c>
      <c r="J51" t="s">
        <v>56</v>
      </c>
      <c r="K51" t="s">
        <v>208</v>
      </c>
      <c r="L51" t="s">
        <v>209</v>
      </c>
    </row>
    <row r="52" spans="1:12" x14ac:dyDescent="0.25">
      <c r="A52" t="s">
        <v>210</v>
      </c>
      <c r="B52" t="s">
        <v>211</v>
      </c>
      <c r="C52" t="s">
        <v>53</v>
      </c>
      <c r="D52" t="s">
        <v>81</v>
      </c>
      <c r="E52">
        <v>1</v>
      </c>
      <c r="F52" t="s">
        <v>88</v>
      </c>
      <c r="G52" s="2"/>
      <c r="H52" s="3">
        <v>975.64293028124189</v>
      </c>
      <c r="I52" s="4">
        <v>0.96199999999999997</v>
      </c>
      <c r="J52" t="s">
        <v>56</v>
      </c>
      <c r="K52" t="s">
        <v>124</v>
      </c>
      <c r="L52" t="s">
        <v>212</v>
      </c>
    </row>
    <row r="53" spans="1:12" x14ac:dyDescent="0.25">
      <c r="A53" t="s">
        <v>213</v>
      </c>
      <c r="B53" t="s">
        <v>214</v>
      </c>
      <c r="C53" t="s">
        <v>86</v>
      </c>
      <c r="D53" t="s">
        <v>87</v>
      </c>
      <c r="E53">
        <v>1</v>
      </c>
      <c r="F53" t="s">
        <v>88</v>
      </c>
      <c r="G53" s="2"/>
      <c r="H53" s="3">
        <v>946.5515381766586</v>
      </c>
      <c r="I53" s="4">
        <v>0.17699999999999999</v>
      </c>
      <c r="J53" t="s">
        <v>56</v>
      </c>
      <c r="K53" t="s">
        <v>166</v>
      </c>
      <c r="L53" t="s">
        <v>215</v>
      </c>
    </row>
    <row r="54" spans="1:12" x14ac:dyDescent="0.25">
      <c r="A54" t="s">
        <v>216</v>
      </c>
      <c r="B54" t="s">
        <v>217</v>
      </c>
      <c r="C54" t="s">
        <v>53</v>
      </c>
      <c r="D54" t="s">
        <v>187</v>
      </c>
      <c r="E54">
        <v>3</v>
      </c>
      <c r="F54" t="s">
        <v>88</v>
      </c>
      <c r="G54" s="2"/>
      <c r="H54" s="3">
        <v>303.73201574733321</v>
      </c>
      <c r="I54" s="4">
        <v>4.2999999999999997E-2</v>
      </c>
      <c r="J54" t="s">
        <v>56</v>
      </c>
      <c r="K54" t="s">
        <v>218</v>
      </c>
      <c r="L54" t="s">
        <v>219</v>
      </c>
    </row>
    <row r="55" spans="1:12" x14ac:dyDescent="0.25">
      <c r="A55" t="s">
        <v>220</v>
      </c>
      <c r="B55" t="s">
        <v>221</v>
      </c>
      <c r="C55" t="s">
        <v>53</v>
      </c>
      <c r="D55" t="s">
        <v>187</v>
      </c>
      <c r="E55">
        <v>50</v>
      </c>
      <c r="F55" t="s">
        <v>88</v>
      </c>
      <c r="G55" s="2"/>
      <c r="H55" s="3">
        <v>17.964887963367431</v>
      </c>
      <c r="I55" s="4">
        <v>4.1000000000000002E-2</v>
      </c>
      <c r="J55" t="s">
        <v>56</v>
      </c>
      <c r="K55" t="s">
        <v>222</v>
      </c>
      <c r="L55" t="s">
        <v>223</v>
      </c>
    </row>
    <row r="56" spans="1:12" x14ac:dyDescent="0.25">
      <c r="A56" t="s">
        <v>224</v>
      </c>
      <c r="B56" t="s">
        <v>225</v>
      </c>
      <c r="C56" t="s">
        <v>53</v>
      </c>
      <c r="D56" t="s">
        <v>81</v>
      </c>
      <c r="E56">
        <v>1</v>
      </c>
      <c r="F56" t="s">
        <v>88</v>
      </c>
      <c r="G56" s="2"/>
      <c r="H56" s="3">
        <v>803.96726258060971</v>
      </c>
      <c r="I56" s="4">
        <v>0.20399999999999999</v>
      </c>
      <c r="J56" t="s">
        <v>56</v>
      </c>
      <c r="K56" t="s">
        <v>166</v>
      </c>
      <c r="L56" t="s">
        <v>226</v>
      </c>
    </row>
    <row r="57" spans="1:12" x14ac:dyDescent="0.25">
      <c r="A57" t="s">
        <v>227</v>
      </c>
      <c r="B57" t="s">
        <v>228</v>
      </c>
      <c r="C57" t="s">
        <v>53</v>
      </c>
      <c r="D57" t="s">
        <v>78</v>
      </c>
      <c r="E57">
        <v>1</v>
      </c>
      <c r="F57" t="s">
        <v>88</v>
      </c>
      <c r="G57" s="2"/>
      <c r="H57" s="3">
        <v>749.16040544457667</v>
      </c>
      <c r="I57" s="4">
        <v>4.4999999999999998E-2</v>
      </c>
      <c r="J57" t="s">
        <v>56</v>
      </c>
      <c r="K57" t="s">
        <v>229</v>
      </c>
      <c r="L57" t="s">
        <v>230</v>
      </c>
    </row>
    <row r="58" spans="1:12" x14ac:dyDescent="0.25">
      <c r="A58" t="s">
        <v>231</v>
      </c>
      <c r="B58" t="s">
        <v>232</v>
      </c>
      <c r="C58" t="s">
        <v>53</v>
      </c>
      <c r="D58" t="s">
        <v>187</v>
      </c>
      <c r="E58">
        <v>3</v>
      </c>
      <c r="F58" t="s">
        <v>55</v>
      </c>
      <c r="G58" s="2">
        <v>29.909600000000001</v>
      </c>
      <c r="H58" s="3"/>
      <c r="I58" s="4">
        <v>0</v>
      </c>
      <c r="J58" t="s">
        <v>56</v>
      </c>
      <c r="L58" t="s">
        <v>179</v>
      </c>
    </row>
    <row r="59" spans="1:12" x14ac:dyDescent="0.25">
      <c r="A59" t="s">
        <v>233</v>
      </c>
      <c r="B59" t="s">
        <v>234</v>
      </c>
      <c r="C59" t="s">
        <v>53</v>
      </c>
      <c r="D59" t="s">
        <v>81</v>
      </c>
      <c r="E59">
        <v>1</v>
      </c>
      <c r="F59" t="s">
        <v>88</v>
      </c>
      <c r="G59" s="2"/>
      <c r="H59" s="3">
        <v>702.98553102481253</v>
      </c>
      <c r="I59" s="4">
        <v>0.17499999999999999</v>
      </c>
      <c r="J59" t="s">
        <v>56</v>
      </c>
      <c r="K59" t="s">
        <v>166</v>
      </c>
      <c r="L59" t="s">
        <v>235</v>
      </c>
    </row>
    <row r="60" spans="1:12" x14ac:dyDescent="0.25">
      <c r="A60" t="s">
        <v>236</v>
      </c>
      <c r="B60" t="s">
        <v>237</v>
      </c>
      <c r="C60" t="s">
        <v>53</v>
      </c>
      <c r="D60" t="s">
        <v>64</v>
      </c>
      <c r="E60">
        <v>1</v>
      </c>
      <c r="F60" t="s">
        <v>88</v>
      </c>
      <c r="G60" s="2"/>
      <c r="H60" s="3">
        <v>695.08078821154572</v>
      </c>
      <c r="I60" s="4">
        <v>0.42199999999999999</v>
      </c>
      <c r="J60" t="s">
        <v>56</v>
      </c>
      <c r="K60" t="s">
        <v>238</v>
      </c>
      <c r="L60" t="s">
        <v>239</v>
      </c>
    </row>
    <row r="61" spans="1:12" x14ac:dyDescent="0.25">
      <c r="A61" t="s">
        <v>240</v>
      </c>
      <c r="B61" t="s">
        <v>241</v>
      </c>
      <c r="C61" t="s">
        <v>53</v>
      </c>
      <c r="D61" t="s">
        <v>187</v>
      </c>
      <c r="E61">
        <v>2</v>
      </c>
      <c r="F61" t="s">
        <v>88</v>
      </c>
      <c r="G61" s="2"/>
      <c r="H61" s="3">
        <v>346.97246207853777</v>
      </c>
      <c r="I61" s="4">
        <v>5.8000000000000003E-2</v>
      </c>
      <c r="J61" t="s">
        <v>56</v>
      </c>
      <c r="K61" t="s">
        <v>242</v>
      </c>
      <c r="L61" t="s">
        <v>243</v>
      </c>
    </row>
    <row r="62" spans="1:12" x14ac:dyDescent="0.25">
      <c r="A62" t="s">
        <v>244</v>
      </c>
      <c r="B62" t="s">
        <v>245</v>
      </c>
      <c r="C62" t="s">
        <v>53</v>
      </c>
      <c r="D62" t="s">
        <v>81</v>
      </c>
      <c r="E62">
        <v>30</v>
      </c>
      <c r="F62" t="s">
        <v>88</v>
      </c>
      <c r="G62" s="2"/>
      <c r="H62" s="3">
        <v>22.802144407865502</v>
      </c>
      <c r="I62" s="4">
        <v>5.0000000000000001E-3</v>
      </c>
      <c r="J62" t="s">
        <v>56</v>
      </c>
      <c r="K62" t="s">
        <v>246</v>
      </c>
      <c r="L62" t="s">
        <v>247</v>
      </c>
    </row>
    <row r="63" spans="1:12" x14ac:dyDescent="0.25">
      <c r="A63" t="s">
        <v>248</v>
      </c>
      <c r="B63" t="s">
        <v>249</v>
      </c>
      <c r="C63" t="s">
        <v>64</v>
      </c>
      <c r="D63" t="s">
        <v>250</v>
      </c>
      <c r="E63">
        <v>1</v>
      </c>
      <c r="F63" t="s">
        <v>88</v>
      </c>
      <c r="G63" s="2"/>
      <c r="H63" s="3">
        <v>682.45474682727877</v>
      </c>
      <c r="I63" s="4">
        <v>3.629</v>
      </c>
      <c r="J63" t="s">
        <v>56</v>
      </c>
      <c r="K63" t="s">
        <v>251</v>
      </c>
      <c r="L63" t="s">
        <v>252</v>
      </c>
    </row>
    <row r="64" spans="1:12" x14ac:dyDescent="0.25">
      <c r="A64" t="s">
        <v>253</v>
      </c>
      <c r="B64" t="s">
        <v>254</v>
      </c>
      <c r="C64" t="s">
        <v>53</v>
      </c>
      <c r="D64" t="s">
        <v>187</v>
      </c>
      <c r="E64">
        <v>1</v>
      </c>
      <c r="F64" t="s">
        <v>55</v>
      </c>
      <c r="G64" s="2">
        <v>79.83</v>
      </c>
      <c r="H64" s="3"/>
    </row>
    <row r="65" spans="1:12" x14ac:dyDescent="0.25">
      <c r="A65" t="s">
        <v>255</v>
      </c>
      <c r="B65" t="s">
        <v>256</v>
      </c>
      <c r="C65" t="s">
        <v>53</v>
      </c>
      <c r="D65" t="s">
        <v>187</v>
      </c>
      <c r="E65">
        <v>1</v>
      </c>
      <c r="F65" t="s">
        <v>88</v>
      </c>
      <c r="G65" s="2"/>
      <c r="H65" s="3">
        <v>625.70941376938504</v>
      </c>
      <c r="I65" s="4">
        <v>9.6000000000000002E-2</v>
      </c>
      <c r="J65" t="s">
        <v>56</v>
      </c>
      <c r="K65" t="s">
        <v>162</v>
      </c>
      <c r="L65" t="s">
        <v>257</v>
      </c>
    </row>
    <row r="66" spans="1:12" x14ac:dyDescent="0.25">
      <c r="A66" t="s">
        <v>258</v>
      </c>
      <c r="B66" t="s">
        <v>259</v>
      </c>
      <c r="C66" t="s">
        <v>53</v>
      </c>
      <c r="D66" t="s">
        <v>187</v>
      </c>
      <c r="E66">
        <v>3</v>
      </c>
      <c r="F66" t="s">
        <v>55</v>
      </c>
      <c r="G66" s="2">
        <v>24.1998</v>
      </c>
      <c r="H66" s="3"/>
      <c r="I66" s="4">
        <v>5.0000000000000001E-3</v>
      </c>
      <c r="J66" t="s">
        <v>56</v>
      </c>
      <c r="L66" t="s">
        <v>179</v>
      </c>
    </row>
    <row r="67" spans="1:12" x14ac:dyDescent="0.25">
      <c r="A67" t="s">
        <v>260</v>
      </c>
      <c r="B67" t="s">
        <v>261</v>
      </c>
      <c r="C67" t="s">
        <v>53</v>
      </c>
      <c r="D67" t="s">
        <v>81</v>
      </c>
      <c r="E67">
        <v>1</v>
      </c>
      <c r="F67" t="s">
        <v>55</v>
      </c>
      <c r="G67" s="2">
        <v>72.41</v>
      </c>
      <c r="H67" s="3"/>
    </row>
    <row r="68" spans="1:12" x14ac:dyDescent="0.25">
      <c r="A68" t="s">
        <v>262</v>
      </c>
      <c r="B68" t="s">
        <v>263</v>
      </c>
      <c r="C68" t="s">
        <v>53</v>
      </c>
      <c r="D68" t="s">
        <v>78</v>
      </c>
      <c r="E68">
        <v>1</v>
      </c>
      <c r="F68" t="s">
        <v>55</v>
      </c>
      <c r="G68" s="2">
        <v>71.94</v>
      </c>
      <c r="H68" s="3"/>
    </row>
    <row r="69" spans="1:12" x14ac:dyDescent="0.25">
      <c r="A69" t="s">
        <v>264</v>
      </c>
      <c r="B69" t="s">
        <v>265</v>
      </c>
      <c r="C69" t="s">
        <v>53</v>
      </c>
      <c r="D69" t="s">
        <v>78</v>
      </c>
      <c r="E69">
        <v>1</v>
      </c>
      <c r="F69" t="s">
        <v>55</v>
      </c>
      <c r="G69" s="2">
        <v>71.94</v>
      </c>
      <c r="H69" s="3"/>
    </row>
    <row r="70" spans="1:12" x14ac:dyDescent="0.25">
      <c r="A70" t="s">
        <v>266</v>
      </c>
      <c r="B70" t="s">
        <v>267</v>
      </c>
      <c r="C70" t="s">
        <v>53</v>
      </c>
      <c r="D70" t="s">
        <v>187</v>
      </c>
      <c r="E70">
        <v>3</v>
      </c>
      <c r="F70" t="s">
        <v>55</v>
      </c>
      <c r="G70" s="2">
        <v>23.9499</v>
      </c>
      <c r="H70" s="3"/>
      <c r="I70" s="4">
        <v>5.3999999999999999E-2</v>
      </c>
      <c r="J70" t="s">
        <v>56</v>
      </c>
      <c r="L70" t="s">
        <v>179</v>
      </c>
    </row>
    <row r="71" spans="1:12" x14ac:dyDescent="0.25">
      <c r="A71" t="s">
        <v>268</v>
      </c>
      <c r="B71" t="s">
        <v>269</v>
      </c>
      <c r="C71" t="s">
        <v>86</v>
      </c>
      <c r="D71" t="s">
        <v>270</v>
      </c>
      <c r="E71">
        <v>1</v>
      </c>
      <c r="F71" t="s">
        <v>88</v>
      </c>
      <c r="G71" s="2"/>
      <c r="H71" s="3">
        <v>565.56673308679592</v>
      </c>
      <c r="I71" s="4">
        <v>0.14199999999999999</v>
      </c>
      <c r="J71" t="s">
        <v>56</v>
      </c>
      <c r="K71" t="s">
        <v>166</v>
      </c>
      <c r="L71" t="s">
        <v>271</v>
      </c>
    </row>
    <row r="72" spans="1:12" x14ac:dyDescent="0.25">
      <c r="A72" t="s">
        <v>272</v>
      </c>
      <c r="B72" t="s">
        <v>273</v>
      </c>
      <c r="C72" t="s">
        <v>86</v>
      </c>
      <c r="D72" t="s">
        <v>87</v>
      </c>
      <c r="E72">
        <v>1</v>
      </c>
      <c r="F72" t="s">
        <v>88</v>
      </c>
      <c r="G72" s="2"/>
      <c r="H72" s="3">
        <v>542.71095466588065</v>
      </c>
      <c r="I72" s="4">
        <v>0.14099999999999999</v>
      </c>
      <c r="J72" t="s">
        <v>56</v>
      </c>
      <c r="K72" t="s">
        <v>166</v>
      </c>
      <c r="L72" t="s">
        <v>274</v>
      </c>
    </row>
    <row r="73" spans="1:12" x14ac:dyDescent="0.25">
      <c r="A73" t="s">
        <v>275</v>
      </c>
      <c r="B73" t="s">
        <v>276</v>
      </c>
      <c r="C73" t="s">
        <v>53</v>
      </c>
      <c r="D73" t="s">
        <v>78</v>
      </c>
      <c r="E73">
        <v>1</v>
      </c>
      <c r="F73" t="s">
        <v>88</v>
      </c>
      <c r="G73" s="2"/>
      <c r="H73" s="3">
        <v>530.71616910610021</v>
      </c>
      <c r="I73" s="4">
        <v>0.57499999999999996</v>
      </c>
      <c r="J73" t="s">
        <v>56</v>
      </c>
      <c r="K73" t="s">
        <v>277</v>
      </c>
      <c r="L73" t="s">
        <v>278</v>
      </c>
    </row>
    <row r="74" spans="1:12" x14ac:dyDescent="0.25">
      <c r="A74" t="s">
        <v>279</v>
      </c>
      <c r="B74" t="s">
        <v>280</v>
      </c>
      <c r="C74" t="s">
        <v>53</v>
      </c>
      <c r="D74" t="s">
        <v>187</v>
      </c>
      <c r="E74">
        <v>3</v>
      </c>
      <c r="F74" t="s">
        <v>55</v>
      </c>
      <c r="G74" s="2">
        <v>21.219799999999999</v>
      </c>
      <c r="H74" s="3"/>
      <c r="I74" s="4">
        <v>4.4999999999999998E-2</v>
      </c>
      <c r="J74" t="s">
        <v>56</v>
      </c>
      <c r="L74" t="s">
        <v>281</v>
      </c>
    </row>
    <row r="75" spans="1:12" x14ac:dyDescent="0.25">
      <c r="A75" t="s">
        <v>282</v>
      </c>
      <c r="B75" t="s">
        <v>283</v>
      </c>
      <c r="C75" t="s">
        <v>60</v>
      </c>
      <c r="D75" t="s">
        <v>60</v>
      </c>
      <c r="E75">
        <v>1</v>
      </c>
      <c r="F75" t="s">
        <v>55</v>
      </c>
      <c r="G75" s="2">
        <v>59.75</v>
      </c>
      <c r="H75" s="3"/>
    </row>
    <row r="76" spans="1:12" x14ac:dyDescent="0.25">
      <c r="A76" t="s">
        <v>284</v>
      </c>
      <c r="B76" t="s">
        <v>285</v>
      </c>
      <c r="C76" t="s">
        <v>53</v>
      </c>
      <c r="D76" t="s">
        <v>187</v>
      </c>
      <c r="E76">
        <v>3</v>
      </c>
      <c r="F76" t="s">
        <v>55</v>
      </c>
      <c r="G76" s="2">
        <v>19.670000000000002</v>
      </c>
      <c r="H76" s="3"/>
      <c r="I76" s="4">
        <v>0</v>
      </c>
      <c r="J76" t="s">
        <v>56</v>
      </c>
      <c r="L76" t="s">
        <v>179</v>
      </c>
    </row>
    <row r="77" spans="1:12" x14ac:dyDescent="0.25">
      <c r="A77" t="s">
        <v>286</v>
      </c>
      <c r="B77" t="s">
        <v>287</v>
      </c>
      <c r="C77" t="s">
        <v>53</v>
      </c>
      <c r="D77" t="s">
        <v>187</v>
      </c>
      <c r="E77">
        <v>3</v>
      </c>
      <c r="F77" t="s">
        <v>55</v>
      </c>
      <c r="G77" s="2">
        <v>19.557400000000001</v>
      </c>
      <c r="H77" s="3"/>
      <c r="I77" s="4">
        <v>0.02</v>
      </c>
      <c r="J77" t="s">
        <v>56</v>
      </c>
      <c r="L77" t="s">
        <v>179</v>
      </c>
    </row>
    <row r="78" spans="1:12" x14ac:dyDescent="0.25">
      <c r="A78" t="s">
        <v>288</v>
      </c>
      <c r="B78" t="s">
        <v>289</v>
      </c>
      <c r="C78" t="s">
        <v>72</v>
      </c>
      <c r="D78" t="s">
        <v>73</v>
      </c>
      <c r="E78">
        <v>1</v>
      </c>
      <c r="F78" t="s">
        <v>88</v>
      </c>
      <c r="G78" s="2"/>
      <c r="H78" s="3">
        <v>480.42768458</v>
      </c>
      <c r="I78" s="4">
        <v>9.0999999999999998E-2</v>
      </c>
      <c r="J78" t="s">
        <v>56</v>
      </c>
      <c r="K78" t="s">
        <v>242</v>
      </c>
      <c r="L78" t="s">
        <v>290</v>
      </c>
    </row>
    <row r="79" spans="1:12" x14ac:dyDescent="0.25">
      <c r="A79" t="s">
        <v>291</v>
      </c>
      <c r="B79" t="s">
        <v>292</v>
      </c>
      <c r="C79" t="s">
        <v>53</v>
      </c>
      <c r="D79" t="s">
        <v>187</v>
      </c>
      <c r="E79">
        <v>3</v>
      </c>
      <c r="F79" t="s">
        <v>55</v>
      </c>
      <c r="G79" s="2">
        <v>19.172999999999998</v>
      </c>
      <c r="H79" s="3"/>
      <c r="I79" s="4">
        <v>0</v>
      </c>
      <c r="J79" t="s">
        <v>56</v>
      </c>
      <c r="L79" t="s">
        <v>179</v>
      </c>
    </row>
    <row r="80" spans="1:12" x14ac:dyDescent="0.25">
      <c r="A80" t="s">
        <v>293</v>
      </c>
      <c r="B80" t="s">
        <v>294</v>
      </c>
      <c r="C80" t="s">
        <v>53</v>
      </c>
      <c r="D80" t="s">
        <v>187</v>
      </c>
      <c r="E80">
        <v>1</v>
      </c>
      <c r="F80" t="s">
        <v>88</v>
      </c>
      <c r="G80" s="2"/>
      <c r="H80" s="3">
        <v>472.91302514718751</v>
      </c>
      <c r="I80" s="4">
        <v>9.2999999999999999E-2</v>
      </c>
      <c r="J80" t="s">
        <v>56</v>
      </c>
      <c r="K80" t="s">
        <v>162</v>
      </c>
      <c r="L80" t="s">
        <v>295</v>
      </c>
    </row>
    <row r="81" spans="1:12" x14ac:dyDescent="0.25">
      <c r="A81" t="s">
        <v>296</v>
      </c>
      <c r="B81" t="s">
        <v>297</v>
      </c>
      <c r="C81" t="s">
        <v>53</v>
      </c>
      <c r="D81" t="s">
        <v>187</v>
      </c>
      <c r="E81">
        <v>3</v>
      </c>
      <c r="F81" t="s">
        <v>55</v>
      </c>
      <c r="G81" s="2">
        <v>18.935700000000001</v>
      </c>
      <c r="H81" s="3"/>
      <c r="I81" s="4">
        <v>3.2000000000000001E-2</v>
      </c>
      <c r="J81" t="s">
        <v>56</v>
      </c>
      <c r="L81" t="s">
        <v>298</v>
      </c>
    </row>
    <row r="82" spans="1:12" x14ac:dyDescent="0.25">
      <c r="A82" t="s">
        <v>299</v>
      </c>
      <c r="B82" t="s">
        <v>300</v>
      </c>
      <c r="C82" t="s">
        <v>72</v>
      </c>
      <c r="D82" t="s">
        <v>73</v>
      </c>
      <c r="E82">
        <v>1</v>
      </c>
      <c r="F82" t="s">
        <v>88</v>
      </c>
      <c r="G82" s="2"/>
      <c r="H82" s="3">
        <v>455.99945986</v>
      </c>
      <c r="I82" s="4">
        <v>6.8000000000000005E-2</v>
      </c>
      <c r="J82" t="s">
        <v>56</v>
      </c>
      <c r="K82" t="s">
        <v>242</v>
      </c>
      <c r="L82" t="s">
        <v>301</v>
      </c>
    </row>
    <row r="83" spans="1:12" x14ac:dyDescent="0.25">
      <c r="A83" t="s">
        <v>302</v>
      </c>
      <c r="B83" t="s">
        <v>303</v>
      </c>
      <c r="C83" t="s">
        <v>86</v>
      </c>
      <c r="D83" t="s">
        <v>87</v>
      </c>
      <c r="E83">
        <v>6</v>
      </c>
      <c r="F83" t="s">
        <v>88</v>
      </c>
      <c r="G83" s="2"/>
      <c r="H83" s="3">
        <v>75.618319992603006</v>
      </c>
      <c r="I83" s="4">
        <v>9.5000000000000001E-2</v>
      </c>
      <c r="J83" t="s">
        <v>56</v>
      </c>
      <c r="K83" t="s">
        <v>304</v>
      </c>
      <c r="L83" t="s">
        <v>305</v>
      </c>
    </row>
    <row r="84" spans="1:12" x14ac:dyDescent="0.25">
      <c r="A84" t="s">
        <v>306</v>
      </c>
      <c r="B84" t="s">
        <v>307</v>
      </c>
      <c r="C84" t="s">
        <v>53</v>
      </c>
      <c r="D84" t="s">
        <v>109</v>
      </c>
      <c r="E84">
        <v>1</v>
      </c>
      <c r="F84" t="s">
        <v>88</v>
      </c>
      <c r="G84" s="2"/>
      <c r="H84" s="3">
        <v>443.68860401693979</v>
      </c>
      <c r="I84" s="4">
        <v>0.39</v>
      </c>
      <c r="J84" t="s">
        <v>56</v>
      </c>
      <c r="K84" t="s">
        <v>304</v>
      </c>
      <c r="L84" t="s">
        <v>308</v>
      </c>
    </row>
    <row r="85" spans="1:12" x14ac:dyDescent="0.25">
      <c r="A85" t="s">
        <v>309</v>
      </c>
      <c r="B85" t="s">
        <v>310</v>
      </c>
      <c r="C85" t="s">
        <v>53</v>
      </c>
      <c r="D85" t="s">
        <v>109</v>
      </c>
      <c r="E85">
        <v>1</v>
      </c>
      <c r="F85" t="s">
        <v>88</v>
      </c>
      <c r="G85" s="2"/>
      <c r="H85" s="3">
        <v>427.11100175850589</v>
      </c>
      <c r="I85" s="4">
        <v>0.38600000000000001</v>
      </c>
      <c r="J85" t="s">
        <v>56</v>
      </c>
      <c r="K85" t="s">
        <v>304</v>
      </c>
      <c r="L85" t="s">
        <v>311</v>
      </c>
    </row>
    <row r="86" spans="1:12" x14ac:dyDescent="0.25">
      <c r="A86" t="s">
        <v>312</v>
      </c>
      <c r="B86" t="s">
        <v>313</v>
      </c>
      <c r="C86" t="s">
        <v>53</v>
      </c>
      <c r="D86" t="s">
        <v>187</v>
      </c>
      <c r="E86">
        <v>1</v>
      </c>
      <c r="F86" t="s">
        <v>88</v>
      </c>
      <c r="G86" s="2"/>
      <c r="H86" s="3">
        <v>411.95479399999999</v>
      </c>
      <c r="I86" s="4">
        <v>0.113</v>
      </c>
      <c r="J86" t="s">
        <v>56</v>
      </c>
      <c r="K86" t="s">
        <v>218</v>
      </c>
    </row>
    <row r="87" spans="1:12" x14ac:dyDescent="0.25">
      <c r="A87" t="s">
        <v>314</v>
      </c>
      <c r="B87" t="s">
        <v>315</v>
      </c>
      <c r="C87" t="s">
        <v>53</v>
      </c>
      <c r="D87" t="s">
        <v>81</v>
      </c>
      <c r="E87">
        <v>1</v>
      </c>
      <c r="F87" t="s">
        <v>88</v>
      </c>
      <c r="G87" s="2"/>
      <c r="H87" s="3">
        <v>397.80678190722188</v>
      </c>
      <c r="I87" s="4">
        <v>0.27200000000000002</v>
      </c>
      <c r="J87" t="s">
        <v>56</v>
      </c>
      <c r="K87" t="s">
        <v>316</v>
      </c>
      <c r="L87" t="s">
        <v>317</v>
      </c>
    </row>
    <row r="88" spans="1:12" x14ac:dyDescent="0.25">
      <c r="A88" t="s">
        <v>318</v>
      </c>
      <c r="B88" t="s">
        <v>319</v>
      </c>
      <c r="C88" t="s">
        <v>72</v>
      </c>
      <c r="D88" t="s">
        <v>73</v>
      </c>
      <c r="E88">
        <v>1</v>
      </c>
      <c r="F88" t="s">
        <v>88</v>
      </c>
      <c r="G88" s="2"/>
      <c r="H88" s="3">
        <v>386.54646387999998</v>
      </c>
      <c r="I88" s="4">
        <v>5.3999999999999999E-2</v>
      </c>
      <c r="J88" t="s">
        <v>56</v>
      </c>
      <c r="K88" t="s">
        <v>242</v>
      </c>
      <c r="L88" t="s">
        <v>320</v>
      </c>
    </row>
    <row r="89" spans="1:12" x14ac:dyDescent="0.25">
      <c r="A89" t="s">
        <v>321</v>
      </c>
      <c r="B89" t="s">
        <v>322</v>
      </c>
      <c r="C89" t="s">
        <v>53</v>
      </c>
      <c r="D89" t="s">
        <v>187</v>
      </c>
      <c r="E89">
        <v>3</v>
      </c>
      <c r="F89" t="s">
        <v>55</v>
      </c>
      <c r="G89" s="2">
        <v>15.455</v>
      </c>
      <c r="H89" s="3"/>
      <c r="I89" s="4">
        <v>5.2999999999999999E-2</v>
      </c>
      <c r="J89" t="s">
        <v>56</v>
      </c>
      <c r="L89" t="s">
        <v>179</v>
      </c>
    </row>
    <row r="90" spans="1:12" x14ac:dyDescent="0.25">
      <c r="A90" t="s">
        <v>323</v>
      </c>
      <c r="B90" t="s">
        <v>324</v>
      </c>
      <c r="C90" t="s">
        <v>53</v>
      </c>
      <c r="D90" t="s">
        <v>187</v>
      </c>
      <c r="E90">
        <v>1</v>
      </c>
      <c r="F90" t="s">
        <v>55</v>
      </c>
      <c r="G90" s="2">
        <v>45.735599999999998</v>
      </c>
      <c r="H90" s="3"/>
    </row>
    <row r="91" spans="1:12" x14ac:dyDescent="0.25">
      <c r="A91" t="s">
        <v>325</v>
      </c>
      <c r="B91" t="s">
        <v>326</v>
      </c>
      <c r="C91" t="s">
        <v>53</v>
      </c>
      <c r="D91" t="s">
        <v>81</v>
      </c>
      <c r="E91">
        <v>1</v>
      </c>
      <c r="F91" t="s">
        <v>88</v>
      </c>
      <c r="G91" s="2"/>
      <c r="H91" s="3">
        <v>376.72767507010548</v>
      </c>
      <c r="I91" s="4">
        <v>2.3130000000000002</v>
      </c>
      <c r="J91" t="s">
        <v>56</v>
      </c>
      <c r="K91" t="s">
        <v>327</v>
      </c>
      <c r="L91" t="s">
        <v>328</v>
      </c>
    </row>
    <row r="92" spans="1:12" x14ac:dyDescent="0.25">
      <c r="A92" t="s">
        <v>329</v>
      </c>
      <c r="B92" t="s">
        <v>330</v>
      </c>
      <c r="C92" t="s">
        <v>53</v>
      </c>
      <c r="D92" t="s">
        <v>81</v>
      </c>
      <c r="E92">
        <v>1</v>
      </c>
      <c r="F92" t="s">
        <v>88</v>
      </c>
      <c r="G92" s="2"/>
      <c r="H92" s="3">
        <v>358.90085530964649</v>
      </c>
      <c r="I92" s="4">
        <v>2.1549999999999998</v>
      </c>
      <c r="J92" t="s">
        <v>56</v>
      </c>
      <c r="K92" t="s">
        <v>327</v>
      </c>
      <c r="L92" t="s">
        <v>331</v>
      </c>
    </row>
    <row r="93" spans="1:12" x14ac:dyDescent="0.25">
      <c r="A93" t="s">
        <v>332</v>
      </c>
      <c r="B93" t="s">
        <v>333</v>
      </c>
      <c r="C93" t="s">
        <v>53</v>
      </c>
      <c r="D93" t="s">
        <v>78</v>
      </c>
      <c r="E93">
        <v>1</v>
      </c>
      <c r="F93" t="s">
        <v>88</v>
      </c>
      <c r="G93" s="2"/>
      <c r="H93" s="3">
        <v>335.094659697125</v>
      </c>
      <c r="I93" s="4">
        <v>4.4999999999999998E-2</v>
      </c>
      <c r="J93" t="s">
        <v>56</v>
      </c>
      <c r="K93" t="s">
        <v>162</v>
      </c>
      <c r="L93" t="s">
        <v>334</v>
      </c>
    </row>
    <row r="94" spans="1:12" x14ac:dyDescent="0.25">
      <c r="A94" t="s">
        <v>335</v>
      </c>
      <c r="B94" t="s">
        <v>336</v>
      </c>
      <c r="C94" t="s">
        <v>53</v>
      </c>
      <c r="D94" t="s">
        <v>187</v>
      </c>
      <c r="E94">
        <v>109</v>
      </c>
      <c r="F94" t="s">
        <v>88</v>
      </c>
      <c r="G94" s="2"/>
      <c r="H94" s="3">
        <v>2.8124536144444452</v>
      </c>
      <c r="I94" s="4">
        <v>0</v>
      </c>
      <c r="J94" t="s">
        <v>56</v>
      </c>
      <c r="K94" t="s">
        <v>242</v>
      </c>
      <c r="L94" t="s">
        <v>337</v>
      </c>
    </row>
    <row r="95" spans="1:12" x14ac:dyDescent="0.25">
      <c r="A95" t="s">
        <v>338</v>
      </c>
      <c r="B95" t="s">
        <v>339</v>
      </c>
      <c r="C95" t="s">
        <v>53</v>
      </c>
      <c r="D95" t="s">
        <v>187</v>
      </c>
      <c r="E95">
        <v>1</v>
      </c>
      <c r="F95" t="s">
        <v>88</v>
      </c>
      <c r="G95" s="2"/>
      <c r="H95" s="3">
        <v>282.40576629576088</v>
      </c>
      <c r="I95" s="4">
        <v>6.6000000000000003E-2</v>
      </c>
      <c r="J95" t="s">
        <v>56</v>
      </c>
      <c r="K95" t="s">
        <v>162</v>
      </c>
      <c r="L95" t="s">
        <v>340</v>
      </c>
    </row>
    <row r="96" spans="1:12" x14ac:dyDescent="0.25">
      <c r="A96" t="s">
        <v>341</v>
      </c>
      <c r="B96" t="s">
        <v>342</v>
      </c>
      <c r="C96" t="s">
        <v>53</v>
      </c>
      <c r="D96" t="s">
        <v>78</v>
      </c>
      <c r="E96">
        <v>1</v>
      </c>
      <c r="F96" t="s">
        <v>88</v>
      </c>
      <c r="G96" s="2"/>
      <c r="H96" s="3">
        <v>262.78624443671748</v>
      </c>
      <c r="I96" s="4">
        <v>2.7E-2</v>
      </c>
      <c r="J96" t="s">
        <v>56</v>
      </c>
      <c r="K96" t="s">
        <v>162</v>
      </c>
      <c r="L96" t="s">
        <v>343</v>
      </c>
    </row>
    <row r="97" spans="1:12" x14ac:dyDescent="0.25">
      <c r="A97" t="s">
        <v>344</v>
      </c>
      <c r="B97" t="s">
        <v>345</v>
      </c>
      <c r="C97" t="s">
        <v>53</v>
      </c>
      <c r="D97" t="s">
        <v>81</v>
      </c>
      <c r="E97">
        <v>1</v>
      </c>
      <c r="F97" t="s">
        <v>88</v>
      </c>
      <c r="G97" s="2"/>
      <c r="H97" s="3">
        <v>198.4070498284668</v>
      </c>
      <c r="I97" s="4">
        <v>1.3149999999999999</v>
      </c>
      <c r="J97" t="s">
        <v>56</v>
      </c>
      <c r="K97" t="s">
        <v>346</v>
      </c>
      <c r="L97" t="s">
        <v>347</v>
      </c>
    </row>
    <row r="98" spans="1:12" x14ac:dyDescent="0.25">
      <c r="A98" t="s">
        <v>348</v>
      </c>
      <c r="B98" t="s">
        <v>349</v>
      </c>
      <c r="C98" t="s">
        <v>53</v>
      </c>
      <c r="D98" t="s">
        <v>109</v>
      </c>
      <c r="E98">
        <v>1</v>
      </c>
      <c r="F98" t="s">
        <v>55</v>
      </c>
      <c r="G98" s="2">
        <v>22.020600000000002</v>
      </c>
      <c r="H98" s="3"/>
      <c r="I98" s="4">
        <v>9.2999999999999999E-2</v>
      </c>
      <c r="J98" t="s">
        <v>56</v>
      </c>
      <c r="K98" t="s">
        <v>304</v>
      </c>
      <c r="L98" t="s">
        <v>350</v>
      </c>
    </row>
    <row r="99" spans="1:12" x14ac:dyDescent="0.25">
      <c r="A99" t="s">
        <v>351</v>
      </c>
      <c r="B99" t="s">
        <v>352</v>
      </c>
      <c r="C99" t="s">
        <v>53</v>
      </c>
      <c r="D99" t="s">
        <v>187</v>
      </c>
      <c r="E99">
        <v>82</v>
      </c>
      <c r="F99" t="s">
        <v>88</v>
      </c>
      <c r="G99" s="2"/>
      <c r="H99" s="3">
        <v>2.0913664666030001</v>
      </c>
      <c r="I99" s="4">
        <v>0</v>
      </c>
      <c r="J99" t="s">
        <v>56</v>
      </c>
      <c r="K99" t="s">
        <v>353</v>
      </c>
      <c r="L99" t="s">
        <v>354</v>
      </c>
    </row>
    <row r="100" spans="1:12" x14ac:dyDescent="0.25">
      <c r="A100" t="s">
        <v>355</v>
      </c>
      <c r="B100" t="s">
        <v>356</v>
      </c>
      <c r="C100" t="s">
        <v>53</v>
      </c>
      <c r="D100" t="s">
        <v>109</v>
      </c>
      <c r="E100">
        <v>1</v>
      </c>
      <c r="F100" t="s">
        <v>88</v>
      </c>
      <c r="G100" s="2"/>
      <c r="H100" s="3">
        <v>153.88089446000001</v>
      </c>
      <c r="I100" s="4">
        <v>0.193</v>
      </c>
      <c r="J100" t="s">
        <v>56</v>
      </c>
      <c r="K100" t="s">
        <v>304</v>
      </c>
      <c r="L100" t="s">
        <v>357</v>
      </c>
    </row>
    <row r="101" spans="1:12" x14ac:dyDescent="0.25">
      <c r="A101" t="s">
        <v>358</v>
      </c>
      <c r="B101" t="s">
        <v>359</v>
      </c>
      <c r="C101" t="s">
        <v>53</v>
      </c>
      <c r="D101" t="s">
        <v>109</v>
      </c>
      <c r="E101">
        <v>1</v>
      </c>
      <c r="F101" t="s">
        <v>88</v>
      </c>
      <c r="G101" s="2"/>
      <c r="H101" s="3">
        <v>153.73570945114051</v>
      </c>
      <c r="I101" s="4">
        <v>0.19500000000000001</v>
      </c>
      <c r="J101" t="s">
        <v>56</v>
      </c>
      <c r="K101" t="s">
        <v>304</v>
      </c>
      <c r="L101" t="s">
        <v>360</v>
      </c>
    </row>
    <row r="102" spans="1:12" x14ac:dyDescent="0.25">
      <c r="A102" t="s">
        <v>361</v>
      </c>
      <c r="B102" t="s">
        <v>362</v>
      </c>
      <c r="C102" t="s">
        <v>53</v>
      </c>
      <c r="D102" t="s">
        <v>109</v>
      </c>
      <c r="E102">
        <v>1</v>
      </c>
      <c r="F102" t="s">
        <v>88</v>
      </c>
      <c r="G102" s="2"/>
      <c r="H102" s="3">
        <v>152.38674044312941</v>
      </c>
      <c r="I102" s="4">
        <v>0.2</v>
      </c>
      <c r="J102" t="s">
        <v>56</v>
      </c>
      <c r="K102" t="s">
        <v>304</v>
      </c>
      <c r="L102" t="s">
        <v>363</v>
      </c>
    </row>
    <row r="103" spans="1:12" x14ac:dyDescent="0.25">
      <c r="A103" t="s">
        <v>364</v>
      </c>
      <c r="B103" t="s">
        <v>365</v>
      </c>
      <c r="C103" t="s">
        <v>53</v>
      </c>
      <c r="D103" t="s">
        <v>109</v>
      </c>
      <c r="E103">
        <v>1</v>
      </c>
      <c r="F103" t="s">
        <v>88</v>
      </c>
      <c r="G103" s="2"/>
      <c r="H103" s="3">
        <v>151.72524546113971</v>
      </c>
      <c r="I103" s="4">
        <v>0.191</v>
      </c>
      <c r="J103" t="s">
        <v>56</v>
      </c>
      <c r="K103" t="s">
        <v>304</v>
      </c>
      <c r="L103" t="s">
        <v>366</v>
      </c>
    </row>
    <row r="104" spans="1:12" x14ac:dyDescent="0.25">
      <c r="A104" t="s">
        <v>367</v>
      </c>
      <c r="B104" t="s">
        <v>368</v>
      </c>
      <c r="C104" t="s">
        <v>53</v>
      </c>
      <c r="D104" t="s">
        <v>109</v>
      </c>
      <c r="E104">
        <v>1</v>
      </c>
      <c r="F104" t="s">
        <v>88</v>
      </c>
      <c r="G104" s="2"/>
      <c r="H104" s="3">
        <v>149.4393378845015</v>
      </c>
      <c r="I104" s="4">
        <v>0.21199999999999999</v>
      </c>
      <c r="J104" t="s">
        <v>56</v>
      </c>
      <c r="K104" t="s">
        <v>304</v>
      </c>
      <c r="L104" t="s">
        <v>360</v>
      </c>
    </row>
    <row r="105" spans="1:12" x14ac:dyDescent="0.25">
      <c r="A105" t="s">
        <v>369</v>
      </c>
      <c r="B105" t="s">
        <v>370</v>
      </c>
      <c r="C105" t="s">
        <v>53</v>
      </c>
      <c r="D105" t="s">
        <v>109</v>
      </c>
      <c r="E105">
        <v>1</v>
      </c>
      <c r="F105" t="s">
        <v>88</v>
      </c>
      <c r="G105" s="2"/>
      <c r="H105" s="3">
        <v>148.74526495471341</v>
      </c>
      <c r="I105" s="4">
        <v>0.188</v>
      </c>
      <c r="J105" t="s">
        <v>56</v>
      </c>
      <c r="K105" t="s">
        <v>304</v>
      </c>
      <c r="L105" t="s">
        <v>357</v>
      </c>
    </row>
    <row r="106" spans="1:12" x14ac:dyDescent="0.25">
      <c r="A106" t="s">
        <v>371</v>
      </c>
      <c r="B106" t="s">
        <v>372</v>
      </c>
      <c r="C106" t="s">
        <v>53</v>
      </c>
      <c r="D106" t="s">
        <v>109</v>
      </c>
      <c r="E106">
        <v>1</v>
      </c>
      <c r="F106" t="s">
        <v>88</v>
      </c>
      <c r="G106" s="2"/>
      <c r="H106" s="3">
        <v>143.40470411850879</v>
      </c>
      <c r="I106" s="4">
        <v>0.19600000000000001</v>
      </c>
      <c r="J106" t="s">
        <v>56</v>
      </c>
      <c r="K106" t="s">
        <v>304</v>
      </c>
      <c r="L106" t="s">
        <v>373</v>
      </c>
    </row>
    <row r="107" spans="1:12" x14ac:dyDescent="0.25">
      <c r="A107" t="s">
        <v>374</v>
      </c>
      <c r="B107" t="s">
        <v>375</v>
      </c>
      <c r="C107" t="s">
        <v>53</v>
      </c>
      <c r="D107" t="s">
        <v>187</v>
      </c>
      <c r="E107">
        <v>1</v>
      </c>
      <c r="F107" t="s">
        <v>88</v>
      </c>
      <c r="G107" s="2"/>
      <c r="H107" s="3">
        <v>136.9356335604061</v>
      </c>
      <c r="I107" s="4">
        <v>0.14499999999999999</v>
      </c>
      <c r="J107" t="s">
        <v>56</v>
      </c>
      <c r="K107" t="s">
        <v>242</v>
      </c>
      <c r="L107" t="s">
        <v>376</v>
      </c>
    </row>
    <row r="108" spans="1:12" x14ac:dyDescent="0.25">
      <c r="A108" t="s">
        <v>377</v>
      </c>
      <c r="B108" t="s">
        <v>378</v>
      </c>
      <c r="C108" t="s">
        <v>53</v>
      </c>
      <c r="D108" t="s">
        <v>81</v>
      </c>
      <c r="E108">
        <v>1</v>
      </c>
      <c r="F108" t="s">
        <v>88</v>
      </c>
      <c r="G108" s="2"/>
      <c r="H108" s="3">
        <v>126.443864959191</v>
      </c>
      <c r="I108" s="4">
        <v>5.3999999999999999E-2</v>
      </c>
      <c r="J108" t="s">
        <v>56</v>
      </c>
      <c r="K108" t="s">
        <v>166</v>
      </c>
      <c r="L108" t="s">
        <v>379</v>
      </c>
    </row>
    <row r="109" spans="1:12" x14ac:dyDescent="0.25">
      <c r="A109" t="s">
        <v>380</v>
      </c>
      <c r="B109" t="s">
        <v>381</v>
      </c>
      <c r="C109" t="s">
        <v>53</v>
      </c>
      <c r="D109" t="s">
        <v>81</v>
      </c>
      <c r="E109">
        <v>1</v>
      </c>
      <c r="F109" t="s">
        <v>88</v>
      </c>
      <c r="G109" s="2"/>
      <c r="H109" s="3">
        <v>125.26025632708129</v>
      </c>
      <c r="I109" s="4">
        <v>0.28100000000000003</v>
      </c>
      <c r="J109" t="s">
        <v>56</v>
      </c>
      <c r="K109" t="s">
        <v>242</v>
      </c>
      <c r="L109" t="s">
        <v>382</v>
      </c>
    </row>
    <row r="110" spans="1:12" x14ac:dyDescent="0.25">
      <c r="A110" t="s">
        <v>383</v>
      </c>
      <c r="B110" t="s">
        <v>384</v>
      </c>
      <c r="C110" t="s">
        <v>53</v>
      </c>
      <c r="D110" t="s">
        <v>81</v>
      </c>
      <c r="E110">
        <v>1</v>
      </c>
      <c r="F110" t="s">
        <v>88</v>
      </c>
      <c r="G110" s="2"/>
      <c r="H110" s="3">
        <v>116.1669559361585</v>
      </c>
      <c r="I110" s="4">
        <v>0.186</v>
      </c>
      <c r="J110" t="s">
        <v>56</v>
      </c>
      <c r="K110" t="s">
        <v>242</v>
      </c>
      <c r="L110" t="s">
        <v>385</v>
      </c>
    </row>
    <row r="111" spans="1:12" x14ac:dyDescent="0.25">
      <c r="A111" t="s">
        <v>386</v>
      </c>
      <c r="B111" t="s">
        <v>387</v>
      </c>
      <c r="C111" t="s">
        <v>53</v>
      </c>
      <c r="D111" t="s">
        <v>187</v>
      </c>
      <c r="E111">
        <v>1</v>
      </c>
      <c r="F111" t="s">
        <v>55</v>
      </c>
      <c r="G111" s="2">
        <v>13.66</v>
      </c>
      <c r="H111" s="3"/>
    </row>
    <row r="112" spans="1:12" x14ac:dyDescent="0.25">
      <c r="A112" t="s">
        <v>388</v>
      </c>
      <c r="B112" t="s">
        <v>389</v>
      </c>
      <c r="C112" t="s">
        <v>64</v>
      </c>
      <c r="D112" t="s">
        <v>109</v>
      </c>
      <c r="E112">
        <v>1</v>
      </c>
      <c r="F112" t="s">
        <v>88</v>
      </c>
      <c r="G112" s="2"/>
      <c r="H112" s="3">
        <v>108.111171329843</v>
      </c>
      <c r="I112" s="4">
        <v>2.3E-2</v>
      </c>
      <c r="J112" t="s">
        <v>56</v>
      </c>
      <c r="K112" t="s">
        <v>166</v>
      </c>
      <c r="L112" t="s">
        <v>390</v>
      </c>
    </row>
    <row r="113" spans="1:12" x14ac:dyDescent="0.25">
      <c r="A113" t="s">
        <v>391</v>
      </c>
      <c r="B113" t="s">
        <v>392</v>
      </c>
      <c r="C113" t="s">
        <v>53</v>
      </c>
      <c r="D113" t="s">
        <v>81</v>
      </c>
      <c r="E113">
        <v>1</v>
      </c>
      <c r="F113" t="s">
        <v>88</v>
      </c>
      <c r="G113" s="2"/>
      <c r="H113" s="3">
        <v>99.211916889194796</v>
      </c>
      <c r="I113" s="4">
        <v>5.0999999999999997E-2</v>
      </c>
      <c r="J113" t="s">
        <v>56</v>
      </c>
      <c r="K113" t="s">
        <v>166</v>
      </c>
      <c r="L113" t="s">
        <v>393</v>
      </c>
    </row>
    <row r="114" spans="1:12" x14ac:dyDescent="0.25">
      <c r="A114" t="s">
        <v>394</v>
      </c>
      <c r="B114" t="s">
        <v>395</v>
      </c>
      <c r="C114" t="s">
        <v>86</v>
      </c>
      <c r="D114" t="s">
        <v>87</v>
      </c>
      <c r="E114">
        <v>14</v>
      </c>
      <c r="F114" t="s">
        <v>88</v>
      </c>
      <c r="G114" s="2"/>
      <c r="H114" s="3">
        <v>5.8071631642506674</v>
      </c>
      <c r="I114" s="4">
        <v>2E-3</v>
      </c>
      <c r="J114" t="s">
        <v>56</v>
      </c>
      <c r="K114" t="s">
        <v>396</v>
      </c>
      <c r="L114" t="s">
        <v>397</v>
      </c>
    </row>
    <row r="115" spans="1:12" x14ac:dyDescent="0.25">
      <c r="A115" t="s">
        <v>398</v>
      </c>
      <c r="B115" t="s">
        <v>399</v>
      </c>
      <c r="C115" t="s">
        <v>53</v>
      </c>
      <c r="D115" t="s">
        <v>78</v>
      </c>
      <c r="E115">
        <v>1</v>
      </c>
      <c r="F115" t="s">
        <v>88</v>
      </c>
      <c r="G115" s="2"/>
      <c r="H115" s="3">
        <v>73.639002355606422</v>
      </c>
      <c r="I115" s="4">
        <v>0.13600000000000001</v>
      </c>
      <c r="J115" t="s">
        <v>56</v>
      </c>
      <c r="K115" t="s">
        <v>242</v>
      </c>
      <c r="L115" t="s">
        <v>400</v>
      </c>
    </row>
    <row r="116" spans="1:12" x14ac:dyDescent="0.25">
      <c r="A116" t="s">
        <v>401</v>
      </c>
      <c r="B116" t="s">
        <v>402</v>
      </c>
      <c r="C116" t="s">
        <v>53</v>
      </c>
      <c r="D116" t="s">
        <v>109</v>
      </c>
      <c r="E116">
        <v>1</v>
      </c>
      <c r="F116" t="s">
        <v>88</v>
      </c>
      <c r="G116" s="2"/>
      <c r="H116" s="3">
        <v>71.525778101253152</v>
      </c>
      <c r="I116" s="4">
        <v>0.113</v>
      </c>
      <c r="J116" t="s">
        <v>56</v>
      </c>
      <c r="K116" t="s">
        <v>304</v>
      </c>
      <c r="L116" t="s">
        <v>403</v>
      </c>
    </row>
    <row r="117" spans="1:12" x14ac:dyDescent="0.25">
      <c r="A117" t="s">
        <v>404</v>
      </c>
      <c r="B117" t="s">
        <v>405</v>
      </c>
      <c r="C117" t="s">
        <v>53</v>
      </c>
      <c r="D117" t="s">
        <v>78</v>
      </c>
      <c r="E117">
        <v>1</v>
      </c>
      <c r="F117" t="s">
        <v>88</v>
      </c>
      <c r="G117" s="2"/>
      <c r="H117" s="3">
        <v>69.474640858737004</v>
      </c>
      <c r="I117" s="4">
        <v>2.3E-2</v>
      </c>
      <c r="J117" t="s">
        <v>56</v>
      </c>
      <c r="K117" t="s">
        <v>238</v>
      </c>
      <c r="L117" t="s">
        <v>406</v>
      </c>
    </row>
    <row r="118" spans="1:12" x14ac:dyDescent="0.25">
      <c r="A118" t="s">
        <v>407</v>
      </c>
      <c r="B118" t="s">
        <v>408</v>
      </c>
      <c r="C118" t="s">
        <v>53</v>
      </c>
      <c r="D118" t="s">
        <v>187</v>
      </c>
      <c r="E118">
        <v>12</v>
      </c>
      <c r="F118" t="s">
        <v>88</v>
      </c>
      <c r="G118" s="2"/>
      <c r="H118" s="3">
        <v>5.4707118625</v>
      </c>
      <c r="I118" s="4">
        <v>0</v>
      </c>
      <c r="J118" t="s">
        <v>56</v>
      </c>
      <c r="K118" t="s">
        <v>327</v>
      </c>
      <c r="L118" t="s">
        <v>354</v>
      </c>
    </row>
    <row r="119" spans="1:12" x14ac:dyDescent="0.25">
      <c r="A119" t="s">
        <v>409</v>
      </c>
      <c r="B119" t="s">
        <v>410</v>
      </c>
      <c r="C119" t="s">
        <v>53</v>
      </c>
      <c r="D119" t="s">
        <v>187</v>
      </c>
      <c r="E119">
        <v>4</v>
      </c>
      <c r="F119" t="s">
        <v>88</v>
      </c>
      <c r="G119" s="2"/>
      <c r="H119" s="3">
        <v>15.50629491024533</v>
      </c>
      <c r="I119" s="4">
        <v>3.9E-2</v>
      </c>
      <c r="J119" t="s">
        <v>56</v>
      </c>
      <c r="K119" t="s">
        <v>242</v>
      </c>
      <c r="L119" t="s">
        <v>411</v>
      </c>
    </row>
    <row r="120" spans="1:12" x14ac:dyDescent="0.25">
      <c r="A120" t="s">
        <v>412</v>
      </c>
      <c r="B120" t="s">
        <v>413</v>
      </c>
      <c r="C120" t="s">
        <v>53</v>
      </c>
      <c r="D120" t="s">
        <v>187</v>
      </c>
      <c r="E120">
        <v>1</v>
      </c>
      <c r="F120" t="s">
        <v>88</v>
      </c>
      <c r="G120" s="2"/>
      <c r="H120" s="3">
        <v>58.454269684190571</v>
      </c>
      <c r="I120" s="4">
        <v>2.9000000000000001E-2</v>
      </c>
      <c r="J120" t="s">
        <v>56</v>
      </c>
      <c r="K120" t="s">
        <v>162</v>
      </c>
      <c r="L120" t="s">
        <v>414</v>
      </c>
    </row>
    <row r="121" spans="1:12" x14ac:dyDescent="0.25">
      <c r="A121" t="s">
        <v>415</v>
      </c>
      <c r="B121" t="s">
        <v>416</v>
      </c>
      <c r="C121" t="s">
        <v>53</v>
      </c>
      <c r="D121" t="s">
        <v>187</v>
      </c>
      <c r="E121">
        <v>1</v>
      </c>
      <c r="F121" t="s">
        <v>88</v>
      </c>
      <c r="G121" s="2"/>
      <c r="H121" s="3">
        <v>42.103764342222</v>
      </c>
      <c r="I121" s="4">
        <v>4.4999999999999998E-2</v>
      </c>
      <c r="J121" t="s">
        <v>56</v>
      </c>
      <c r="K121" t="s">
        <v>218</v>
      </c>
      <c r="L121" t="s">
        <v>417</v>
      </c>
    </row>
    <row r="122" spans="1:12" x14ac:dyDescent="0.25">
      <c r="A122" t="s">
        <v>418</v>
      </c>
      <c r="B122" t="s">
        <v>419</v>
      </c>
      <c r="C122" t="s">
        <v>53</v>
      </c>
      <c r="D122" t="s">
        <v>78</v>
      </c>
      <c r="E122">
        <v>1</v>
      </c>
      <c r="F122" t="s">
        <v>88</v>
      </c>
      <c r="G122" s="2"/>
      <c r="H122" s="3">
        <v>41.812449887318749</v>
      </c>
      <c r="I122" s="4">
        <v>2.3E-2</v>
      </c>
      <c r="J122" t="s">
        <v>56</v>
      </c>
      <c r="K122" t="s">
        <v>420</v>
      </c>
      <c r="L122" t="s">
        <v>421</v>
      </c>
    </row>
    <row r="123" spans="1:12" x14ac:dyDescent="0.25">
      <c r="A123" t="s">
        <v>422</v>
      </c>
      <c r="B123" t="s">
        <v>423</v>
      </c>
      <c r="C123" t="s">
        <v>53</v>
      </c>
      <c r="D123" t="s">
        <v>187</v>
      </c>
      <c r="E123">
        <v>1</v>
      </c>
      <c r="F123" t="s">
        <v>88</v>
      </c>
      <c r="G123" s="2"/>
      <c r="H123" s="3">
        <v>35.503447940000001</v>
      </c>
      <c r="I123" s="4">
        <v>4.1000000000000002E-2</v>
      </c>
      <c r="J123" t="s">
        <v>56</v>
      </c>
      <c r="K123" t="s">
        <v>242</v>
      </c>
      <c r="L123" t="s">
        <v>243</v>
      </c>
    </row>
    <row r="124" spans="1:12" x14ac:dyDescent="0.25">
      <c r="A124" t="s">
        <v>424</v>
      </c>
      <c r="B124" t="s">
        <v>425</v>
      </c>
      <c r="C124" t="s">
        <v>86</v>
      </c>
      <c r="D124" t="s">
        <v>53</v>
      </c>
      <c r="E124">
        <v>2</v>
      </c>
      <c r="F124" t="s">
        <v>88</v>
      </c>
      <c r="G124" s="2"/>
      <c r="H124" s="3">
        <v>15.87167340642857</v>
      </c>
      <c r="I124" s="4">
        <v>2.3E-2</v>
      </c>
      <c r="J124" t="s">
        <v>56</v>
      </c>
      <c r="K124" t="s">
        <v>162</v>
      </c>
      <c r="L124" t="s">
        <v>426</v>
      </c>
    </row>
    <row r="125" spans="1:12" x14ac:dyDescent="0.25">
      <c r="A125" t="s">
        <v>427</v>
      </c>
      <c r="B125" t="s">
        <v>428</v>
      </c>
      <c r="C125" t="s">
        <v>53</v>
      </c>
      <c r="D125" t="s">
        <v>187</v>
      </c>
      <c r="E125">
        <v>9</v>
      </c>
      <c r="F125" t="s">
        <v>88</v>
      </c>
      <c r="G125" s="2"/>
      <c r="H125" s="3">
        <v>2.6747814998497002</v>
      </c>
      <c r="I125" s="4">
        <v>0</v>
      </c>
      <c r="J125" t="s">
        <v>56</v>
      </c>
      <c r="K125" t="s">
        <v>353</v>
      </c>
      <c r="L125" t="s">
        <v>429</v>
      </c>
    </row>
    <row r="126" spans="1:12" x14ac:dyDescent="0.25">
      <c r="A126" t="s">
        <v>430</v>
      </c>
      <c r="B126" t="s">
        <v>431</v>
      </c>
      <c r="C126" t="s">
        <v>86</v>
      </c>
      <c r="D126" t="s">
        <v>87</v>
      </c>
      <c r="E126">
        <v>16</v>
      </c>
      <c r="F126" t="s">
        <v>88</v>
      </c>
      <c r="G126" s="2"/>
      <c r="H126" s="3">
        <v>1.259049427493</v>
      </c>
      <c r="I126" s="4">
        <v>5.0000000000000001E-3</v>
      </c>
      <c r="J126" t="s">
        <v>56</v>
      </c>
      <c r="K126" t="s">
        <v>432</v>
      </c>
      <c r="L126" t="s">
        <v>433</v>
      </c>
    </row>
    <row r="127" spans="1:12" x14ac:dyDescent="0.25">
      <c r="A127" t="s">
        <v>434</v>
      </c>
      <c r="B127" t="s">
        <v>435</v>
      </c>
      <c r="C127" t="s">
        <v>53</v>
      </c>
      <c r="D127" t="s">
        <v>187</v>
      </c>
      <c r="E127">
        <v>1</v>
      </c>
      <c r="F127" t="s">
        <v>55</v>
      </c>
      <c r="G127" s="2">
        <v>1.9294</v>
      </c>
      <c r="H127" s="3"/>
      <c r="I127" s="4">
        <v>2.3E-2</v>
      </c>
      <c r="J127" t="s">
        <v>56</v>
      </c>
      <c r="K127" t="s">
        <v>162</v>
      </c>
      <c r="L127" t="s">
        <v>426</v>
      </c>
    </row>
    <row r="128" spans="1:12" x14ac:dyDescent="0.25">
      <c r="A128" t="s">
        <v>436</v>
      </c>
      <c r="B128" t="s">
        <v>437</v>
      </c>
      <c r="C128" t="s">
        <v>53</v>
      </c>
      <c r="D128" t="s">
        <v>187</v>
      </c>
      <c r="E128">
        <v>1</v>
      </c>
      <c r="F128" t="s">
        <v>88</v>
      </c>
      <c r="G128" s="2"/>
      <c r="H128" s="3">
        <v>14.20340068983467</v>
      </c>
      <c r="I128" s="4">
        <v>2.7E-2</v>
      </c>
      <c r="J128" t="s">
        <v>56</v>
      </c>
      <c r="K128" t="s">
        <v>162</v>
      </c>
      <c r="L128" t="s">
        <v>438</v>
      </c>
    </row>
    <row r="129" spans="1:13" x14ac:dyDescent="0.25">
      <c r="A129" t="s">
        <v>439</v>
      </c>
      <c r="B129" t="s">
        <v>440</v>
      </c>
      <c r="C129" t="s">
        <v>53</v>
      </c>
      <c r="D129" t="s">
        <v>187</v>
      </c>
      <c r="E129">
        <v>1</v>
      </c>
      <c r="F129" t="s">
        <v>88</v>
      </c>
      <c r="G129" s="2"/>
      <c r="H129" s="3">
        <v>13.12510371189</v>
      </c>
      <c r="I129" s="4">
        <v>2.5000000000000001E-2</v>
      </c>
      <c r="J129" t="s">
        <v>56</v>
      </c>
      <c r="K129" t="s">
        <v>162</v>
      </c>
      <c r="L129" t="s">
        <v>441</v>
      </c>
    </row>
    <row r="130" spans="1:13" x14ac:dyDescent="0.25">
      <c r="A130" t="s">
        <v>442</v>
      </c>
      <c r="B130" t="s">
        <v>443</v>
      </c>
      <c r="C130" t="s">
        <v>53</v>
      </c>
      <c r="D130" t="s">
        <v>81</v>
      </c>
      <c r="E130">
        <v>1</v>
      </c>
      <c r="F130" t="s">
        <v>88</v>
      </c>
      <c r="G130" s="2"/>
      <c r="H130" s="3">
        <v>12.61859220518725</v>
      </c>
      <c r="I130" s="4">
        <v>1.4E-2</v>
      </c>
      <c r="J130" t="s">
        <v>56</v>
      </c>
      <c r="K130" t="s">
        <v>162</v>
      </c>
      <c r="L130" t="s">
        <v>444</v>
      </c>
    </row>
    <row r="131" spans="1:13" x14ac:dyDescent="0.25">
      <c r="A131" t="s">
        <v>445</v>
      </c>
      <c r="B131" t="s">
        <v>446</v>
      </c>
      <c r="C131" t="s">
        <v>53</v>
      </c>
      <c r="D131" t="s">
        <v>187</v>
      </c>
      <c r="E131">
        <v>1</v>
      </c>
      <c r="F131" t="s">
        <v>88</v>
      </c>
      <c r="G131" s="2"/>
      <c r="H131" s="3">
        <v>12.51965952557345</v>
      </c>
      <c r="I131" s="4">
        <v>4.1000000000000002E-2</v>
      </c>
      <c r="J131" t="s">
        <v>56</v>
      </c>
      <c r="K131" t="s">
        <v>242</v>
      </c>
      <c r="L131" t="s">
        <v>447</v>
      </c>
    </row>
    <row r="132" spans="1:13" x14ac:dyDescent="0.25">
      <c r="A132" t="s">
        <v>448</v>
      </c>
      <c r="B132" t="s">
        <v>449</v>
      </c>
      <c r="C132" t="s">
        <v>53</v>
      </c>
      <c r="D132" t="s">
        <v>81</v>
      </c>
      <c r="E132">
        <v>1</v>
      </c>
      <c r="F132" t="s">
        <v>88</v>
      </c>
      <c r="G132" s="2"/>
      <c r="H132" s="3">
        <v>9.8544165690664993</v>
      </c>
      <c r="I132" s="4">
        <v>4.2999999999999997E-2</v>
      </c>
      <c r="J132" t="s">
        <v>56</v>
      </c>
      <c r="K132" t="s">
        <v>251</v>
      </c>
      <c r="L132" t="s">
        <v>450</v>
      </c>
    </row>
    <row r="133" spans="1:13" x14ac:dyDescent="0.25">
      <c r="A133" t="s">
        <v>451</v>
      </c>
      <c r="B133" t="s">
        <v>452</v>
      </c>
      <c r="C133" t="s">
        <v>86</v>
      </c>
      <c r="D133" t="s">
        <v>87</v>
      </c>
      <c r="E133">
        <v>16</v>
      </c>
      <c r="F133" t="s">
        <v>88</v>
      </c>
      <c r="G133" s="2"/>
      <c r="H133" s="3">
        <v>0.50056056105014279</v>
      </c>
      <c r="I133" s="4">
        <v>0</v>
      </c>
      <c r="J133" t="s">
        <v>56</v>
      </c>
      <c r="K133" t="s">
        <v>453</v>
      </c>
      <c r="L133" t="s">
        <v>454</v>
      </c>
    </row>
    <row r="134" spans="1:13" x14ac:dyDescent="0.25">
      <c r="A134" t="s">
        <v>455</v>
      </c>
      <c r="B134" t="s">
        <v>456</v>
      </c>
      <c r="C134" t="s">
        <v>53</v>
      </c>
      <c r="D134" t="s">
        <v>187</v>
      </c>
      <c r="E134">
        <v>4</v>
      </c>
      <c r="F134" t="s">
        <v>88</v>
      </c>
      <c r="G134" s="2"/>
      <c r="H134" s="3">
        <v>1.836323915118778</v>
      </c>
      <c r="I134" s="4">
        <v>0</v>
      </c>
      <c r="J134" t="s">
        <v>56</v>
      </c>
      <c r="K134" t="s">
        <v>353</v>
      </c>
      <c r="L134" t="s">
        <v>457</v>
      </c>
    </row>
    <row r="135" spans="1:13" x14ac:dyDescent="0.25">
      <c r="A135" t="s">
        <v>458</v>
      </c>
      <c r="B135" t="s">
        <v>459</v>
      </c>
      <c r="C135" t="s">
        <v>60</v>
      </c>
      <c r="D135" t="s">
        <v>60</v>
      </c>
      <c r="E135">
        <v>1</v>
      </c>
      <c r="F135" t="s">
        <v>88</v>
      </c>
      <c r="G135" s="2"/>
      <c r="H135" s="3">
        <v>5.4176275199999999</v>
      </c>
      <c r="I135" s="4">
        <v>0.02</v>
      </c>
      <c r="J135" t="s">
        <v>56</v>
      </c>
      <c r="K135" t="s">
        <v>251</v>
      </c>
      <c r="L135" t="s">
        <v>460</v>
      </c>
    </row>
    <row r="136" spans="1:13" x14ac:dyDescent="0.25">
      <c r="A136" t="s">
        <v>461</v>
      </c>
      <c r="B136" t="s">
        <v>462</v>
      </c>
      <c r="C136" t="s">
        <v>53</v>
      </c>
      <c r="D136" t="s">
        <v>187</v>
      </c>
      <c r="E136">
        <v>1</v>
      </c>
      <c r="F136" t="s">
        <v>88</v>
      </c>
      <c r="G136" s="2"/>
      <c r="H136" s="3">
        <v>5.1836589811662863</v>
      </c>
      <c r="I136" s="4">
        <v>2E-3</v>
      </c>
      <c r="J136" t="s">
        <v>56</v>
      </c>
      <c r="K136" t="s">
        <v>353</v>
      </c>
      <c r="L136" t="s">
        <v>463</v>
      </c>
    </row>
    <row r="137" spans="1:13" x14ac:dyDescent="0.25">
      <c r="A137" t="s">
        <v>464</v>
      </c>
      <c r="B137" t="s">
        <v>465</v>
      </c>
      <c r="C137" t="s">
        <v>53</v>
      </c>
      <c r="D137" t="s">
        <v>187</v>
      </c>
      <c r="E137">
        <v>5</v>
      </c>
      <c r="F137" t="s">
        <v>88</v>
      </c>
      <c r="G137" s="2"/>
      <c r="H137" s="3">
        <v>0.27520117607200001</v>
      </c>
      <c r="I137" s="4">
        <v>0</v>
      </c>
      <c r="J137" t="s">
        <v>56</v>
      </c>
      <c r="K137" t="s">
        <v>242</v>
      </c>
      <c r="L137" t="s">
        <v>466</v>
      </c>
    </row>
    <row r="138" spans="1:13" x14ac:dyDescent="0.25">
      <c r="A138" t="s">
        <v>467</v>
      </c>
      <c r="B138" t="s">
        <v>468</v>
      </c>
      <c r="C138" t="s">
        <v>86</v>
      </c>
      <c r="D138" t="s">
        <v>87</v>
      </c>
      <c r="E138">
        <v>1</v>
      </c>
      <c r="F138" t="s">
        <v>88</v>
      </c>
      <c r="G138" s="2"/>
      <c r="H138" s="3">
        <v>0.37466631142537499</v>
      </c>
      <c r="I138" s="4">
        <v>2E-3</v>
      </c>
      <c r="J138" t="s">
        <v>56</v>
      </c>
      <c r="K138" t="s">
        <v>396</v>
      </c>
      <c r="L138" t="s">
        <v>469</v>
      </c>
    </row>
    <row r="139" spans="1:13" x14ac:dyDescent="0.25">
      <c r="A139" t="s">
        <v>470</v>
      </c>
      <c r="B139" t="s">
        <v>471</v>
      </c>
      <c r="C139" t="s">
        <v>53</v>
      </c>
      <c r="D139" t="s">
        <v>78</v>
      </c>
      <c r="E139">
        <v>1</v>
      </c>
      <c r="F139" t="s">
        <v>55</v>
      </c>
      <c r="G139" s="2">
        <v>0.01</v>
      </c>
      <c r="H139" s="3"/>
    </row>
    <row r="140" spans="1:13" x14ac:dyDescent="0.25">
      <c r="A140" t="s">
        <v>472</v>
      </c>
      <c r="B140" t="s">
        <v>473</v>
      </c>
      <c r="C140" t="s">
        <v>53</v>
      </c>
      <c r="D140" t="s">
        <v>78</v>
      </c>
      <c r="E140">
        <v>1</v>
      </c>
      <c r="F140" t="s">
        <v>55</v>
      </c>
      <c r="G140" s="2">
        <v>0.01</v>
      </c>
      <c r="H140" s="3"/>
    </row>
    <row r="141" spans="1:13" x14ac:dyDescent="0.25">
      <c r="A141" t="s">
        <v>474</v>
      </c>
      <c r="B141" t="s">
        <v>475</v>
      </c>
      <c r="C141" t="s">
        <v>68</v>
      </c>
      <c r="D141" t="s">
        <v>99</v>
      </c>
      <c r="E141">
        <v>1</v>
      </c>
      <c r="F141" t="s">
        <v>476</v>
      </c>
      <c r="G141" s="2"/>
      <c r="H141" s="3"/>
      <c r="M141" t="s">
        <v>477</v>
      </c>
    </row>
    <row r="142" spans="1:13" x14ac:dyDescent="0.25">
      <c r="A142" t="s">
        <v>478</v>
      </c>
      <c r="B142" t="s">
        <v>479</v>
      </c>
      <c r="C142" t="s">
        <v>86</v>
      </c>
      <c r="D142" t="s">
        <v>87</v>
      </c>
      <c r="E142">
        <v>16</v>
      </c>
      <c r="F142" t="s">
        <v>480</v>
      </c>
      <c r="G142" s="2"/>
      <c r="H142" s="3"/>
      <c r="M142" t="s">
        <v>477</v>
      </c>
    </row>
    <row r="143" spans="1:13" x14ac:dyDescent="0.25">
      <c r="A143" t="s">
        <v>481</v>
      </c>
      <c r="B143" t="s">
        <v>482</v>
      </c>
      <c r="C143" t="s">
        <v>86</v>
      </c>
      <c r="D143" t="s">
        <v>87</v>
      </c>
      <c r="E143">
        <v>2</v>
      </c>
      <c r="F143" t="s">
        <v>480</v>
      </c>
      <c r="G143" s="2"/>
      <c r="H143" s="3"/>
      <c r="M143" t="s">
        <v>477</v>
      </c>
    </row>
    <row r="144" spans="1:13" x14ac:dyDescent="0.25">
      <c r="A144" t="s">
        <v>483</v>
      </c>
      <c r="B144" t="s">
        <v>484</v>
      </c>
      <c r="C144" t="s">
        <v>86</v>
      </c>
      <c r="D144" t="s">
        <v>87</v>
      </c>
      <c r="E144">
        <v>1</v>
      </c>
      <c r="F144" t="s">
        <v>480</v>
      </c>
      <c r="G144" s="2"/>
      <c r="H144" s="3"/>
      <c r="M144" t="s">
        <v>477</v>
      </c>
    </row>
    <row r="145" spans="1:13" x14ac:dyDescent="0.25">
      <c r="A145" t="s">
        <v>485</v>
      </c>
      <c r="B145" t="s">
        <v>486</v>
      </c>
      <c r="C145" t="s">
        <v>86</v>
      </c>
      <c r="D145" t="s">
        <v>87</v>
      </c>
      <c r="E145">
        <v>1</v>
      </c>
      <c r="F145" t="s">
        <v>480</v>
      </c>
      <c r="G145" s="2"/>
      <c r="H145" s="3"/>
      <c r="M145" t="s">
        <v>477</v>
      </c>
    </row>
    <row r="146" spans="1:13" x14ac:dyDescent="0.25">
      <c r="A146" t="s">
        <v>487</v>
      </c>
      <c r="B146" t="s">
        <v>487</v>
      </c>
      <c r="C146" t="s">
        <v>86</v>
      </c>
      <c r="D146" t="s">
        <v>87</v>
      </c>
      <c r="E146">
        <v>3</v>
      </c>
      <c r="F146" t="s">
        <v>480</v>
      </c>
      <c r="G146" s="2"/>
      <c r="H146" s="3"/>
      <c r="M146" t="s">
        <v>488</v>
      </c>
    </row>
    <row r="147" spans="1:13" x14ac:dyDescent="0.25">
      <c r="A147" t="s">
        <v>489</v>
      </c>
      <c r="B147" t="s">
        <v>490</v>
      </c>
      <c r="C147" t="s">
        <v>86</v>
      </c>
      <c r="D147" t="s">
        <v>53</v>
      </c>
      <c r="E147">
        <v>1</v>
      </c>
      <c r="F147" t="s">
        <v>480</v>
      </c>
      <c r="G147" s="2"/>
      <c r="H147" s="3"/>
      <c r="M147" t="s">
        <v>477</v>
      </c>
    </row>
    <row r="148" spans="1:13" x14ac:dyDescent="0.25">
      <c r="A148" t="s">
        <v>491</v>
      </c>
      <c r="B148" t="s">
        <v>492</v>
      </c>
      <c r="C148" t="s">
        <v>86</v>
      </c>
      <c r="D148" t="s">
        <v>87</v>
      </c>
      <c r="E148">
        <v>1</v>
      </c>
      <c r="F148" t="s">
        <v>480</v>
      </c>
      <c r="G148" s="2"/>
      <c r="H148" s="3"/>
      <c r="M148" t="s">
        <v>477</v>
      </c>
    </row>
    <row r="149" spans="1:13" x14ac:dyDescent="0.25">
      <c r="A149" t="s">
        <v>493</v>
      </c>
      <c r="B149" t="s">
        <v>494</v>
      </c>
      <c r="C149" t="s">
        <v>86</v>
      </c>
      <c r="D149" t="s">
        <v>87</v>
      </c>
      <c r="E149">
        <v>1</v>
      </c>
      <c r="F149" t="s">
        <v>480</v>
      </c>
      <c r="G149" s="2"/>
      <c r="H149" s="3"/>
      <c r="M149" t="s">
        <v>477</v>
      </c>
    </row>
    <row r="150" spans="1:13" x14ac:dyDescent="0.25">
      <c r="A150" t="s">
        <v>495</v>
      </c>
      <c r="B150" t="s">
        <v>496</v>
      </c>
      <c r="C150" t="s">
        <v>86</v>
      </c>
      <c r="D150" t="s">
        <v>87</v>
      </c>
      <c r="E150">
        <v>1</v>
      </c>
      <c r="F150" t="s">
        <v>480</v>
      </c>
      <c r="G150" s="2"/>
      <c r="H150" s="3"/>
      <c r="M150" t="s">
        <v>477</v>
      </c>
    </row>
    <row r="151" spans="1:13" x14ac:dyDescent="0.25">
      <c r="A151" t="s">
        <v>497</v>
      </c>
      <c r="B151" t="s">
        <v>498</v>
      </c>
      <c r="C151" t="s">
        <v>86</v>
      </c>
      <c r="D151" t="s">
        <v>87</v>
      </c>
      <c r="E151">
        <v>1</v>
      </c>
      <c r="F151" t="s">
        <v>480</v>
      </c>
      <c r="G151" s="2"/>
      <c r="H151" s="3"/>
      <c r="M151" t="s">
        <v>499</v>
      </c>
    </row>
    <row r="152" spans="1:13" x14ac:dyDescent="0.25">
      <c r="A152" t="s">
        <v>500</v>
      </c>
      <c r="B152" t="s">
        <v>501</v>
      </c>
      <c r="C152" t="s">
        <v>86</v>
      </c>
      <c r="D152" t="s">
        <v>87</v>
      </c>
      <c r="E152">
        <v>1</v>
      </c>
      <c r="F152" t="s">
        <v>480</v>
      </c>
      <c r="G152" s="2"/>
      <c r="H152" s="3"/>
      <c r="M152" t="s">
        <v>477</v>
      </c>
    </row>
    <row r="153" spans="1:13" x14ac:dyDescent="0.25">
      <c r="A153" t="s">
        <v>502</v>
      </c>
      <c r="B153" t="s">
        <v>503</v>
      </c>
      <c r="C153" t="s">
        <v>86</v>
      </c>
      <c r="D153" t="s">
        <v>87</v>
      </c>
      <c r="E153">
        <v>1</v>
      </c>
      <c r="F153" t="s">
        <v>480</v>
      </c>
      <c r="G153" s="2"/>
      <c r="H153" s="3"/>
      <c r="M153" t="s">
        <v>477</v>
      </c>
    </row>
    <row r="154" spans="1:13" x14ac:dyDescent="0.25">
      <c r="A154" t="s">
        <v>504</v>
      </c>
      <c r="B154" t="s">
        <v>273</v>
      </c>
      <c r="C154" t="s">
        <v>86</v>
      </c>
      <c r="D154" t="s">
        <v>87</v>
      </c>
      <c r="E154">
        <v>2</v>
      </c>
      <c r="F154" t="s">
        <v>480</v>
      </c>
      <c r="G154" s="2"/>
      <c r="H154" s="3"/>
      <c r="M154" t="s">
        <v>477</v>
      </c>
    </row>
    <row r="155" spans="1:13" x14ac:dyDescent="0.25">
      <c r="A155" t="s">
        <v>505</v>
      </c>
      <c r="B155" t="s">
        <v>506</v>
      </c>
      <c r="C155" t="s">
        <v>86</v>
      </c>
      <c r="D155" t="s">
        <v>87</v>
      </c>
      <c r="E155">
        <v>3</v>
      </c>
      <c r="F155" t="s">
        <v>480</v>
      </c>
      <c r="G155" s="2"/>
      <c r="H155" s="3"/>
      <c r="M155" t="s">
        <v>477</v>
      </c>
    </row>
    <row r="156" spans="1:13" x14ac:dyDescent="0.25">
      <c r="A156" t="s">
        <v>507</v>
      </c>
      <c r="B156" t="s">
        <v>508</v>
      </c>
      <c r="C156" t="s">
        <v>86</v>
      </c>
      <c r="D156" t="s">
        <v>87</v>
      </c>
      <c r="E156">
        <v>1</v>
      </c>
      <c r="F156" t="s">
        <v>480</v>
      </c>
      <c r="G156" s="2"/>
      <c r="H156" s="3"/>
      <c r="M156" t="s">
        <v>477</v>
      </c>
    </row>
    <row r="157" spans="1:13" x14ac:dyDescent="0.25">
      <c r="A157" t="s">
        <v>509</v>
      </c>
      <c r="B157" t="s">
        <v>510</v>
      </c>
      <c r="C157" t="s">
        <v>86</v>
      </c>
      <c r="D157" t="s">
        <v>87</v>
      </c>
      <c r="E157">
        <v>1</v>
      </c>
      <c r="F157" t="s">
        <v>480</v>
      </c>
      <c r="G157" s="2"/>
      <c r="H157" s="3"/>
      <c r="M157" t="s">
        <v>477</v>
      </c>
    </row>
    <row r="158" spans="1:13" x14ac:dyDescent="0.25">
      <c r="A158" t="s">
        <v>511</v>
      </c>
      <c r="B158" t="s">
        <v>512</v>
      </c>
      <c r="C158" t="s">
        <v>86</v>
      </c>
      <c r="D158" t="s">
        <v>87</v>
      </c>
      <c r="E158">
        <v>17</v>
      </c>
      <c r="F158" t="s">
        <v>480</v>
      </c>
      <c r="G158" s="2"/>
      <c r="H158" s="3"/>
      <c r="M158" t="s">
        <v>477</v>
      </c>
    </row>
    <row r="159" spans="1:13" x14ac:dyDescent="0.25">
      <c r="A159" t="s">
        <v>513</v>
      </c>
      <c r="B159" t="s">
        <v>514</v>
      </c>
      <c r="C159" t="s">
        <v>86</v>
      </c>
      <c r="D159" t="s">
        <v>515</v>
      </c>
      <c r="E159">
        <v>3</v>
      </c>
      <c r="F159" t="s">
        <v>480</v>
      </c>
      <c r="G159" s="2"/>
      <c r="H159" s="3"/>
      <c r="M159" t="s">
        <v>477</v>
      </c>
    </row>
    <row r="160" spans="1:13" x14ac:dyDescent="0.25">
      <c r="A160" t="s">
        <v>516</v>
      </c>
      <c r="B160" t="s">
        <v>517</v>
      </c>
      <c r="C160" t="s">
        <v>86</v>
      </c>
      <c r="D160" t="s">
        <v>518</v>
      </c>
      <c r="E160">
        <v>2</v>
      </c>
      <c r="F160" t="s">
        <v>480</v>
      </c>
      <c r="G160" s="2"/>
      <c r="H160" s="3"/>
      <c r="M160" t="s">
        <v>477</v>
      </c>
    </row>
    <row r="161" spans="1:13" x14ac:dyDescent="0.25">
      <c r="A161" t="s">
        <v>519</v>
      </c>
      <c r="B161" t="s">
        <v>520</v>
      </c>
      <c r="C161" t="s">
        <v>86</v>
      </c>
      <c r="D161" t="s">
        <v>521</v>
      </c>
      <c r="E161">
        <v>1</v>
      </c>
      <c r="F161" t="s">
        <v>480</v>
      </c>
      <c r="G161" s="2"/>
      <c r="H161" s="3"/>
      <c r="M161" t="s">
        <v>477</v>
      </c>
    </row>
    <row r="162" spans="1:13" x14ac:dyDescent="0.25">
      <c r="A162" t="s">
        <v>522</v>
      </c>
      <c r="B162" t="s">
        <v>523</v>
      </c>
      <c r="C162" t="s">
        <v>86</v>
      </c>
      <c r="D162" t="s">
        <v>521</v>
      </c>
      <c r="E162">
        <v>2</v>
      </c>
      <c r="F162" t="s">
        <v>480</v>
      </c>
      <c r="G162" s="2"/>
      <c r="H162" s="3"/>
      <c r="M162" t="s">
        <v>477</v>
      </c>
    </row>
    <row r="163" spans="1:13" x14ac:dyDescent="0.25">
      <c r="B163" t="s">
        <v>524</v>
      </c>
      <c r="C163" t="s">
        <v>86</v>
      </c>
      <c r="D163" t="s">
        <v>87</v>
      </c>
      <c r="E163">
        <v>1</v>
      </c>
      <c r="F163" t="s">
        <v>480</v>
      </c>
      <c r="G163" s="2"/>
      <c r="H163" s="3"/>
      <c r="M163" t="s">
        <v>477</v>
      </c>
    </row>
    <row r="164" spans="1:13" x14ac:dyDescent="0.25">
      <c r="A164" t="s">
        <v>525</v>
      </c>
      <c r="B164" t="s">
        <v>526</v>
      </c>
      <c r="C164" t="s">
        <v>86</v>
      </c>
      <c r="D164" t="s">
        <v>87</v>
      </c>
      <c r="E164">
        <v>3</v>
      </c>
      <c r="F164" t="s">
        <v>480</v>
      </c>
      <c r="G164" s="2"/>
      <c r="H164" s="3"/>
      <c r="M164" t="s">
        <v>477</v>
      </c>
    </row>
    <row r="165" spans="1:13" x14ac:dyDescent="0.25">
      <c r="A165" t="s">
        <v>527</v>
      </c>
      <c r="B165" t="s">
        <v>528</v>
      </c>
      <c r="C165" t="s">
        <v>86</v>
      </c>
      <c r="D165" t="s">
        <v>529</v>
      </c>
      <c r="E165">
        <v>1</v>
      </c>
      <c r="F165" t="s">
        <v>480</v>
      </c>
      <c r="G165" s="2"/>
      <c r="H165" s="3"/>
      <c r="M165" t="s">
        <v>530</v>
      </c>
    </row>
  </sheetData>
  <autoFilter ref="A3:M165" xr:uid="{00000000-0009-0000-0000-000000000000}"/>
  <mergeCells count="1">
    <mergeCell ref="A1:M1"/>
  </mergeCells>
  <pageMargins left="0.75" right="0.75" top="1" bottom="1" header="0.5" footer="0.5"/>
  <headerFooter>
    <oddHeader>&amp;R&amp;"Aptos"&amp;1 &amp;K000000 1 - General Business#_x000D_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workbookViewId="0">
      <selection activeCell="C28" sqref="C28"/>
    </sheetView>
  </sheetViews>
  <sheetFormatPr defaultRowHeight="15" x14ac:dyDescent="0.25"/>
  <cols>
    <col min="1" max="1" width="62" customWidth="1"/>
    <col min="2" max="3" width="20" customWidth="1"/>
  </cols>
  <sheetData>
    <row r="1" spans="1:12" ht="17.25" customHeight="1" x14ac:dyDescent="0.3">
      <c r="A1" s="23" t="s">
        <v>0</v>
      </c>
      <c r="B1" s="22"/>
      <c r="C1" s="22"/>
      <c r="D1" s="22"/>
    </row>
    <row r="3" spans="1:12" x14ac:dyDescent="0.25">
      <c r="A3" t="s">
        <v>1</v>
      </c>
      <c r="B3" s="5">
        <v>5.0999999999999996</v>
      </c>
    </row>
    <row r="4" spans="1:12" x14ac:dyDescent="0.25">
      <c r="A4" t="s">
        <v>2</v>
      </c>
      <c r="B4" s="6">
        <v>0.45</v>
      </c>
      <c r="D4" s="7" t="s">
        <v>3</v>
      </c>
    </row>
    <row r="5" spans="1:12" x14ac:dyDescent="0.25">
      <c r="A5" t="s">
        <v>4</v>
      </c>
      <c r="B5" s="8">
        <v>0.10059999999999999</v>
      </c>
    </row>
    <row r="6" spans="1:12" x14ac:dyDescent="0.25">
      <c r="A6" t="s">
        <v>5</v>
      </c>
      <c r="B6" s="8">
        <v>0.18</v>
      </c>
    </row>
    <row r="7" spans="1:12" x14ac:dyDescent="0.25">
      <c r="A7" t="s">
        <v>6</v>
      </c>
      <c r="B7" s="8">
        <v>9.69E-2</v>
      </c>
    </row>
    <row r="8" spans="1:12" x14ac:dyDescent="0.25">
      <c r="B8" s="9" t="s">
        <v>7</v>
      </c>
      <c r="C8" s="9" t="s">
        <v>8</v>
      </c>
      <c r="L8">
        <f>900*1.37</f>
        <v>1233</v>
      </c>
    </row>
    <row r="9" spans="1:12" x14ac:dyDescent="0.25">
      <c r="A9" s="10" t="s">
        <v>9</v>
      </c>
    </row>
    <row r="10" spans="1:12" x14ac:dyDescent="0.25">
      <c r="A10" t="s">
        <v>10</v>
      </c>
      <c r="B10" s="3">
        <v>1346980.92</v>
      </c>
      <c r="C10" s="2">
        <f t="shared" ref="C10:C17" si="0">B10/$B$3</f>
        <v>264113.90588235296</v>
      </c>
    </row>
    <row r="11" spans="1:12" x14ac:dyDescent="0.25">
      <c r="A11" t="s">
        <v>11</v>
      </c>
      <c r="B11" s="3">
        <v>166060.16</v>
      </c>
      <c r="C11" s="2">
        <f t="shared" si="0"/>
        <v>32560.815686274513</v>
      </c>
    </row>
    <row r="12" spans="1:12" x14ac:dyDescent="0.25">
      <c r="A12" t="s">
        <v>12</v>
      </c>
      <c r="B12" s="3">
        <v>198163.69</v>
      </c>
      <c r="C12" s="2">
        <f t="shared" si="0"/>
        <v>38855.625490196078</v>
      </c>
    </row>
    <row r="13" spans="1:12" x14ac:dyDescent="0.25">
      <c r="A13" t="s">
        <v>13</v>
      </c>
      <c r="B13" s="3">
        <v>18998.55</v>
      </c>
      <c r="C13" s="2">
        <f t="shared" si="0"/>
        <v>3725.2058823529414</v>
      </c>
    </row>
    <row r="14" spans="1:12" x14ac:dyDescent="0.25">
      <c r="A14" t="s">
        <v>14</v>
      </c>
      <c r="B14" s="3">
        <v>280915.82</v>
      </c>
      <c r="C14" s="2">
        <f t="shared" si="0"/>
        <v>55081.53333333334</v>
      </c>
    </row>
    <row r="15" spans="1:12" x14ac:dyDescent="0.25">
      <c r="A15" t="s">
        <v>15</v>
      </c>
      <c r="B15" s="3">
        <v>21753.1</v>
      </c>
      <c r="C15" s="2">
        <f t="shared" si="0"/>
        <v>4265.3137254901958</v>
      </c>
    </row>
    <row r="16" spans="1:12" x14ac:dyDescent="0.25">
      <c r="A16" t="s">
        <v>16</v>
      </c>
      <c r="B16" s="3">
        <v>707790.6</v>
      </c>
      <c r="C16" s="2">
        <f t="shared" si="0"/>
        <v>138782.4705882353</v>
      </c>
    </row>
    <row r="17" spans="1:6" ht="15.75" customHeight="1" x14ac:dyDescent="0.25">
      <c r="A17" s="11" t="s">
        <v>17</v>
      </c>
      <c r="B17" s="12">
        <f>SUM(B10:B16)</f>
        <v>2740662.84</v>
      </c>
      <c r="C17" s="13">
        <f t="shared" si="0"/>
        <v>537384.87058823532</v>
      </c>
    </row>
    <row r="19" spans="1:6" x14ac:dyDescent="0.25">
      <c r="A19" s="10" t="s">
        <v>18</v>
      </c>
    </row>
    <row r="20" spans="1:6" x14ac:dyDescent="0.25">
      <c r="A20" t="s">
        <v>19</v>
      </c>
      <c r="B20" s="3">
        <f>B17-B12</f>
        <v>2542499.15</v>
      </c>
      <c r="C20" s="2">
        <f>B20/$B$3</f>
        <v>498529.24509803922</v>
      </c>
    </row>
    <row r="21" spans="1:6" x14ac:dyDescent="0.25">
      <c r="A21" t="s">
        <v>20</v>
      </c>
      <c r="B21" s="3">
        <f>B20/(1-$B$4)</f>
        <v>4622725.7272727266</v>
      </c>
      <c r="C21" s="2">
        <f>B21/$B$3</f>
        <v>906416.80926916213</v>
      </c>
    </row>
    <row r="22" spans="1:6" ht="15.75" customHeight="1" x14ac:dyDescent="0.25">
      <c r="A22" s="11" t="s">
        <v>21</v>
      </c>
      <c r="B22" s="12">
        <f>B21</f>
        <v>4622725.7272727266</v>
      </c>
      <c r="C22" s="13">
        <f>B22/$B$3</f>
        <v>906416.80926916213</v>
      </c>
    </row>
    <row r="24" spans="1:6" x14ac:dyDescent="0.25">
      <c r="A24" s="10" t="s">
        <v>22</v>
      </c>
    </row>
    <row r="25" spans="1:6" x14ac:dyDescent="0.25">
      <c r="A25" t="s">
        <v>23</v>
      </c>
      <c r="B25" s="3">
        <f>B22/(1-$B$5)</f>
        <v>5139788.4448218001</v>
      </c>
      <c r="C25" s="2">
        <f>B25/$B$3</f>
        <v>1007801.6558474118</v>
      </c>
    </row>
    <row r="26" spans="1:6" x14ac:dyDescent="0.25">
      <c r="A26" t="s">
        <v>24</v>
      </c>
      <c r="B26" s="3">
        <f>B25/(1-$B$6)</f>
        <v>6268034.688807073</v>
      </c>
      <c r="C26" s="2">
        <f>B26/$B$3</f>
        <v>1229026.4095700143</v>
      </c>
    </row>
    <row r="27" spans="1:6" x14ac:dyDescent="0.25">
      <c r="A27" t="s">
        <v>25</v>
      </c>
      <c r="B27" s="3">
        <f>B26*$B$7</f>
        <v>607372.56134540541</v>
      </c>
      <c r="C27" s="2">
        <f>B27/$B$3</f>
        <v>119092.6590873344</v>
      </c>
    </row>
    <row r="28" spans="1:6" ht="15.75" customHeight="1" x14ac:dyDescent="0.25">
      <c r="A28" s="11" t="s">
        <v>26</v>
      </c>
      <c r="B28" s="12">
        <f>B26+B27</f>
        <v>6875407.250152478</v>
      </c>
      <c r="C28" s="13">
        <f>B28/$B$3</f>
        <v>1348119.0686573486</v>
      </c>
    </row>
    <row r="30" spans="1:6" x14ac:dyDescent="0.25">
      <c r="A30" s="9" t="s">
        <v>27</v>
      </c>
    </row>
    <row r="31" spans="1:6" x14ac:dyDescent="0.25">
      <c r="A31" s="21" t="s">
        <v>28</v>
      </c>
      <c r="B31" s="22"/>
      <c r="C31" s="22"/>
      <c r="D31" s="22"/>
      <c r="E31" s="22"/>
      <c r="F31" s="22"/>
    </row>
    <row r="32" spans="1:6" x14ac:dyDescent="0.25">
      <c r="A32" s="21" t="s">
        <v>29</v>
      </c>
      <c r="B32" s="22"/>
      <c r="C32" s="22"/>
      <c r="D32" s="22"/>
      <c r="E32" s="22"/>
      <c r="F32" s="22"/>
    </row>
    <row r="33" spans="1:6" x14ac:dyDescent="0.25">
      <c r="A33" s="21" t="s">
        <v>30</v>
      </c>
      <c r="B33" s="22"/>
      <c r="C33" s="22"/>
      <c r="D33" s="22"/>
      <c r="E33" s="22"/>
      <c r="F33" s="22"/>
    </row>
    <row r="34" spans="1:6" x14ac:dyDescent="0.25">
      <c r="A34" s="21" t="s">
        <v>31</v>
      </c>
      <c r="B34" s="22"/>
      <c r="C34" s="22"/>
      <c r="D34" s="22"/>
      <c r="E34" s="22"/>
      <c r="F34" s="22"/>
    </row>
    <row r="35" spans="1:6" x14ac:dyDescent="0.25">
      <c r="A35" s="21" t="s">
        <v>32</v>
      </c>
      <c r="B35" s="22"/>
      <c r="C35" s="22"/>
      <c r="D35" s="22"/>
      <c r="E35" s="22"/>
      <c r="F35" s="22"/>
    </row>
    <row r="36" spans="1:6" x14ac:dyDescent="0.25">
      <c r="A36" s="21" t="s">
        <v>33</v>
      </c>
      <c r="B36" s="22"/>
      <c r="C36" s="22"/>
      <c r="D36" s="22"/>
      <c r="E36" s="22"/>
      <c r="F36" s="22"/>
    </row>
    <row r="37" spans="1:6" x14ac:dyDescent="0.25">
      <c r="A37" s="21" t="s">
        <v>34</v>
      </c>
      <c r="B37" s="22"/>
      <c r="C37" s="22"/>
      <c r="D37" s="22"/>
      <c r="E37" s="22"/>
      <c r="F37" s="22"/>
    </row>
    <row r="38" spans="1:6" x14ac:dyDescent="0.25">
      <c r="A38" s="21" t="s">
        <v>35</v>
      </c>
      <c r="B38" s="22"/>
      <c r="C38" s="22"/>
      <c r="D38" s="22"/>
      <c r="E38" s="22"/>
      <c r="F38" s="22"/>
    </row>
    <row r="39" spans="1:6" x14ac:dyDescent="0.25">
      <c r="A39" s="21" t="s">
        <v>36</v>
      </c>
      <c r="B39" s="22"/>
      <c r="C39" s="22"/>
      <c r="D39" s="22"/>
      <c r="E39" s="22"/>
      <c r="F39" s="22"/>
    </row>
  </sheetData>
  <mergeCells count="10">
    <mergeCell ref="A39:F39"/>
    <mergeCell ref="A38:F38"/>
    <mergeCell ref="A1:D1"/>
    <mergeCell ref="A33:F33"/>
    <mergeCell ref="A36:F36"/>
    <mergeCell ref="A37:F37"/>
    <mergeCell ref="A32:F32"/>
    <mergeCell ref="A31:F31"/>
    <mergeCell ref="A34:F34"/>
    <mergeCell ref="A35:F35"/>
  </mergeCells>
  <pageMargins left="0.75" right="0.75" top="1" bottom="1" header="0.5" footer="0.5"/>
  <headerFooter>
    <oddHeader>&amp;R&amp;"Aptos"&amp;1 &amp;K000000 1 - General Business#_x000D_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selection activeCell="B5" sqref="B5"/>
    </sheetView>
  </sheetViews>
  <sheetFormatPr defaultRowHeight="15" x14ac:dyDescent="0.25"/>
  <cols>
    <col min="1" max="1" width="92.140625" bestFit="1" customWidth="1"/>
    <col min="2" max="2" width="46" customWidth="1"/>
    <col min="3" max="4" width="18" customWidth="1"/>
    <col min="5" max="5" width="14" customWidth="1"/>
    <col min="6" max="6" width="50" customWidth="1"/>
  </cols>
  <sheetData>
    <row r="1" spans="1:6" ht="17.25" customHeight="1" x14ac:dyDescent="0.3">
      <c r="A1" s="23" t="s">
        <v>531</v>
      </c>
      <c r="B1" s="22"/>
      <c r="C1" s="22"/>
      <c r="D1" s="22"/>
      <c r="E1" s="22"/>
      <c r="F1" s="22"/>
    </row>
    <row r="2" spans="1:6" x14ac:dyDescent="0.25">
      <c r="A2" s="7" t="s">
        <v>532</v>
      </c>
    </row>
    <row r="4" spans="1:6" ht="15.75" customHeight="1" x14ac:dyDescent="0.25">
      <c r="A4" s="11" t="s">
        <v>533</v>
      </c>
    </row>
    <row r="5" spans="1:6" x14ac:dyDescent="0.25">
      <c r="A5" t="s">
        <v>534</v>
      </c>
      <c r="B5" s="14">
        <v>900000</v>
      </c>
    </row>
    <row r="6" spans="1:6" ht="15.75" customHeight="1" x14ac:dyDescent="0.25">
      <c r="A6" t="s">
        <v>535</v>
      </c>
      <c r="B6" s="15">
        <v>945272.43475935829</v>
      </c>
      <c r="C6" s="7" t="s">
        <v>536</v>
      </c>
    </row>
    <row r="7" spans="1:6" ht="15.75" customHeight="1" x14ac:dyDescent="0.25">
      <c r="A7" t="s">
        <v>537</v>
      </c>
      <c r="B7" s="15">
        <v>1405909.2697130609</v>
      </c>
    </row>
    <row r="8" spans="1:6" x14ac:dyDescent="0.25">
      <c r="A8" t="s">
        <v>538</v>
      </c>
      <c r="B8" s="2">
        <f>B6-B5</f>
        <v>45272.434759358293</v>
      </c>
      <c r="C8" s="16">
        <f>B8/B5</f>
        <v>5.0302705288175882E-2</v>
      </c>
    </row>
    <row r="9" spans="1:6" x14ac:dyDescent="0.25">
      <c r="A9" t="s">
        <v>539</v>
      </c>
      <c r="B9" s="2">
        <f>B7-B5</f>
        <v>505909.26971306093</v>
      </c>
      <c r="C9" s="16">
        <f>B9/B5</f>
        <v>0.56212141079228994</v>
      </c>
    </row>
    <row r="10" spans="1:6" x14ac:dyDescent="0.25">
      <c r="A10" s="21" t="s">
        <v>540</v>
      </c>
      <c r="B10" s="22"/>
      <c r="C10" s="22"/>
      <c r="D10" s="22"/>
      <c r="E10" s="22"/>
      <c r="F10" s="22"/>
    </row>
    <row r="11" spans="1:6" x14ac:dyDescent="0.25">
      <c r="A11" s="21" t="s">
        <v>541</v>
      </c>
      <c r="B11" s="22"/>
      <c r="C11" s="22"/>
      <c r="D11" s="22"/>
      <c r="E11" s="22"/>
      <c r="F11" s="22"/>
    </row>
    <row r="12" spans="1:6" x14ac:dyDescent="0.25">
      <c r="A12" s="21" t="s">
        <v>542</v>
      </c>
      <c r="B12" s="22"/>
      <c r="C12" s="22"/>
      <c r="D12" s="22"/>
      <c r="E12" s="22"/>
      <c r="F12" s="22"/>
    </row>
    <row r="13" spans="1:6" x14ac:dyDescent="0.25">
      <c r="A13" s="21" t="s">
        <v>543</v>
      </c>
      <c r="B13" s="22"/>
      <c r="C13" s="22"/>
      <c r="D13" s="22"/>
      <c r="E13" s="22"/>
      <c r="F13" s="22"/>
    </row>
    <row r="15" spans="1:6" x14ac:dyDescent="0.25">
      <c r="A15" s="10" t="s">
        <v>544</v>
      </c>
    </row>
    <row r="16" spans="1:6" ht="45" customHeight="1" x14ac:dyDescent="0.25">
      <c r="A16" s="1" t="s">
        <v>545</v>
      </c>
      <c r="B16" s="1" t="s">
        <v>546</v>
      </c>
      <c r="C16" s="1" t="s">
        <v>7</v>
      </c>
      <c r="D16" s="1" t="s">
        <v>8</v>
      </c>
      <c r="E16" s="1" t="s">
        <v>547</v>
      </c>
      <c r="F16" s="1" t="s">
        <v>548</v>
      </c>
    </row>
    <row r="17" spans="1:6" ht="45" customHeight="1" x14ac:dyDescent="0.25">
      <c r="A17" t="s">
        <v>549</v>
      </c>
      <c r="B17" s="17" t="s">
        <v>550</v>
      </c>
      <c r="C17" s="3">
        <v>1346980.92</v>
      </c>
      <c r="D17" s="2">
        <v>264113.90588235302</v>
      </c>
      <c r="E17" t="s">
        <v>551</v>
      </c>
      <c r="F17" s="17" t="s">
        <v>552</v>
      </c>
    </row>
    <row r="18" spans="1:6" ht="45" customHeight="1" x14ac:dyDescent="0.25">
      <c r="A18" t="s">
        <v>553</v>
      </c>
      <c r="B18" s="17" t="s">
        <v>554</v>
      </c>
      <c r="C18" s="3">
        <v>166060.16</v>
      </c>
      <c r="D18" s="2">
        <v>32560.815686274509</v>
      </c>
      <c r="E18" t="s">
        <v>551</v>
      </c>
      <c r="F18" s="17" t="s">
        <v>555</v>
      </c>
    </row>
    <row r="19" spans="1:6" ht="45" customHeight="1" x14ac:dyDescent="0.25">
      <c r="A19" t="s">
        <v>556</v>
      </c>
      <c r="B19" s="17" t="s">
        <v>557</v>
      </c>
      <c r="C19" s="3">
        <v>198163.69</v>
      </c>
      <c r="D19" s="2">
        <v>38855.625490196078</v>
      </c>
      <c r="E19" t="s">
        <v>551</v>
      </c>
      <c r="F19" s="17" t="s">
        <v>558</v>
      </c>
    </row>
    <row r="20" spans="1:6" ht="45" customHeight="1" x14ac:dyDescent="0.25">
      <c r="A20" t="s">
        <v>559</v>
      </c>
      <c r="B20" s="17" t="s">
        <v>560</v>
      </c>
      <c r="C20" s="3">
        <v>18998.55</v>
      </c>
      <c r="D20" s="2">
        <v>3725.205882352941</v>
      </c>
      <c r="E20" t="s">
        <v>551</v>
      </c>
      <c r="F20" s="17" t="s">
        <v>561</v>
      </c>
    </row>
    <row r="21" spans="1:6" ht="45" customHeight="1" x14ac:dyDescent="0.25">
      <c r="A21" t="s">
        <v>562</v>
      </c>
      <c r="B21" s="17" t="s">
        <v>563</v>
      </c>
      <c r="C21" s="3">
        <v>280915.82</v>
      </c>
      <c r="D21" s="2">
        <v>55081.53333333334</v>
      </c>
      <c r="E21" t="s">
        <v>551</v>
      </c>
      <c r="F21" s="17" t="s">
        <v>564</v>
      </c>
    </row>
    <row r="22" spans="1:6" ht="45" customHeight="1" x14ac:dyDescent="0.25">
      <c r="A22" t="s">
        <v>565</v>
      </c>
      <c r="B22" s="17" t="s">
        <v>566</v>
      </c>
      <c r="C22" s="3">
        <v>21753.1</v>
      </c>
      <c r="D22" s="2">
        <v>4265.3137254901958</v>
      </c>
      <c r="E22" t="s">
        <v>551</v>
      </c>
      <c r="F22" s="17" t="s">
        <v>567</v>
      </c>
    </row>
    <row r="23" spans="1:6" ht="45" customHeight="1" x14ac:dyDescent="0.25">
      <c r="A23" t="s">
        <v>568</v>
      </c>
      <c r="B23" s="17" t="s">
        <v>569</v>
      </c>
      <c r="C23" s="3">
        <v>707790.6</v>
      </c>
      <c r="D23" s="2">
        <v>138782.4705882353</v>
      </c>
      <c r="E23" t="s">
        <v>551</v>
      </c>
      <c r="F23" s="17" t="s">
        <v>570</v>
      </c>
    </row>
    <row r="24" spans="1:6" ht="15.75" customHeight="1" x14ac:dyDescent="0.25">
      <c r="A24" s="11" t="s">
        <v>17</v>
      </c>
      <c r="C24" s="12">
        <v>2740662.84</v>
      </c>
      <c r="D24" s="13">
        <v>537384.87058823532</v>
      </c>
      <c r="E24" s="11" t="s">
        <v>571</v>
      </c>
    </row>
    <row r="26" spans="1:6" x14ac:dyDescent="0.25">
      <c r="A26" s="10" t="s">
        <v>572</v>
      </c>
    </row>
    <row r="27" spans="1:6" ht="60" customHeight="1" x14ac:dyDescent="0.25">
      <c r="A27" t="s">
        <v>573</v>
      </c>
      <c r="B27" s="17" t="s">
        <v>574</v>
      </c>
      <c r="F27" s="17" t="s">
        <v>575</v>
      </c>
    </row>
    <row r="28" spans="1:6" ht="30" customHeight="1" x14ac:dyDescent="0.25">
      <c r="A28" t="s">
        <v>576</v>
      </c>
      <c r="B28" s="17" t="s">
        <v>577</v>
      </c>
      <c r="F28" s="17" t="s">
        <v>578</v>
      </c>
    </row>
    <row r="29" spans="1:6" ht="15.75" customHeight="1" x14ac:dyDescent="0.25">
      <c r="A29" s="11" t="s">
        <v>579</v>
      </c>
      <c r="C29" s="12">
        <f>'Resumo Executivo (P&amp;L)'!B22</f>
        <v>4622725.7272727266</v>
      </c>
      <c r="D29" s="13">
        <f>'Resumo Executivo (P&amp;L)'!C22</f>
        <v>906416.80926916213</v>
      </c>
      <c r="E29" t="s">
        <v>580</v>
      </c>
    </row>
    <row r="31" spans="1:6" x14ac:dyDescent="0.25">
      <c r="A31" s="10" t="s">
        <v>581</v>
      </c>
    </row>
    <row r="32" spans="1:6" ht="30" customHeight="1" x14ac:dyDescent="0.25">
      <c r="A32" t="s">
        <v>582</v>
      </c>
      <c r="B32" s="17" t="s">
        <v>583</v>
      </c>
      <c r="F32" s="17" t="s">
        <v>584</v>
      </c>
    </row>
    <row r="33" spans="1:6" ht="75" customHeight="1" x14ac:dyDescent="0.25">
      <c r="A33" t="s">
        <v>585</v>
      </c>
      <c r="B33" s="17" t="s">
        <v>586</v>
      </c>
      <c r="F33" s="17" t="s">
        <v>587</v>
      </c>
    </row>
    <row r="34" spans="1:6" ht="30" customHeight="1" x14ac:dyDescent="0.25">
      <c r="A34" t="s">
        <v>588</v>
      </c>
      <c r="B34" s="17" t="s">
        <v>589</v>
      </c>
      <c r="F34" s="17" t="s">
        <v>590</v>
      </c>
    </row>
    <row r="35" spans="1:6" ht="15.75" customHeight="1" x14ac:dyDescent="0.25">
      <c r="A35" s="11" t="s">
        <v>591</v>
      </c>
      <c r="C35" s="12">
        <f>'Resumo Executivo (P&amp;L)'!B28</f>
        <v>6875407.250152478</v>
      </c>
      <c r="D35" s="13">
        <f>'Resumo Executivo (P&amp;L)'!C28</f>
        <v>1348119.0686573486</v>
      </c>
      <c r="E35" t="s">
        <v>592</v>
      </c>
    </row>
    <row r="37" spans="1:6" x14ac:dyDescent="0.25">
      <c r="A37" s="10" t="s">
        <v>593</v>
      </c>
    </row>
    <row r="38" spans="1:6" ht="30" customHeight="1" x14ac:dyDescent="0.25">
      <c r="A38" s="1" t="s">
        <v>594</v>
      </c>
      <c r="B38" s="1" t="s">
        <v>595</v>
      </c>
      <c r="C38" s="1" t="s">
        <v>596</v>
      </c>
      <c r="D38" s="1" t="s">
        <v>597</v>
      </c>
    </row>
    <row r="39" spans="1:6" x14ac:dyDescent="0.25">
      <c r="A39" t="s">
        <v>598</v>
      </c>
      <c r="B39" t="s">
        <v>599</v>
      </c>
      <c r="C39" t="s">
        <v>600</v>
      </c>
      <c r="D39" s="24" t="s">
        <v>601</v>
      </c>
      <c r="E39" s="22"/>
      <c r="F39" s="22"/>
    </row>
    <row r="40" spans="1:6" x14ac:dyDescent="0.25">
      <c r="A40" t="s">
        <v>602</v>
      </c>
      <c r="B40" t="s">
        <v>603</v>
      </c>
      <c r="C40" t="s">
        <v>604</v>
      </c>
      <c r="D40" s="24" t="s">
        <v>605</v>
      </c>
      <c r="E40" s="22"/>
      <c r="F40" s="22"/>
    </row>
    <row r="41" spans="1:6" x14ac:dyDescent="0.25">
      <c r="A41" t="s">
        <v>559</v>
      </c>
      <c r="B41" t="s">
        <v>606</v>
      </c>
      <c r="C41" t="s">
        <v>607</v>
      </c>
      <c r="D41" s="24" t="s">
        <v>608</v>
      </c>
      <c r="E41" s="22"/>
      <c r="F41" s="22"/>
    </row>
    <row r="42" spans="1:6" x14ac:dyDescent="0.25">
      <c r="A42" t="s">
        <v>565</v>
      </c>
      <c r="B42" t="s">
        <v>609</v>
      </c>
      <c r="C42" t="s">
        <v>607</v>
      </c>
      <c r="D42" s="24" t="s">
        <v>610</v>
      </c>
      <c r="E42" s="22"/>
      <c r="F42" s="22"/>
    </row>
    <row r="43" spans="1:6" x14ac:dyDescent="0.25">
      <c r="A43" t="s">
        <v>611</v>
      </c>
      <c r="B43" t="s">
        <v>612</v>
      </c>
      <c r="C43" t="s">
        <v>600</v>
      </c>
      <c r="D43" s="24" t="s">
        <v>613</v>
      </c>
      <c r="E43" s="22"/>
      <c r="F43" s="22"/>
    </row>
    <row r="44" spans="1:6" x14ac:dyDescent="0.25">
      <c r="A44" t="s">
        <v>582</v>
      </c>
      <c r="B44" t="s">
        <v>614</v>
      </c>
      <c r="C44" t="s">
        <v>600</v>
      </c>
      <c r="D44" s="24" t="s">
        <v>615</v>
      </c>
      <c r="E44" s="22"/>
      <c r="F44" s="22"/>
    </row>
    <row r="45" spans="1:6" x14ac:dyDescent="0.25">
      <c r="A45" t="s">
        <v>588</v>
      </c>
      <c r="B45" t="s">
        <v>616</v>
      </c>
      <c r="C45" t="s">
        <v>600</v>
      </c>
      <c r="D45" s="24" t="s">
        <v>615</v>
      </c>
      <c r="E45" s="22"/>
      <c r="F45" s="22"/>
    </row>
    <row r="46" spans="1:6" x14ac:dyDescent="0.25">
      <c r="A46" t="s">
        <v>585</v>
      </c>
      <c r="B46" t="s">
        <v>617</v>
      </c>
      <c r="C46" t="s">
        <v>604</v>
      </c>
      <c r="D46" s="24" t="s">
        <v>618</v>
      </c>
      <c r="E46" s="22"/>
      <c r="F46" s="22"/>
    </row>
    <row r="47" spans="1:6" x14ac:dyDescent="0.25">
      <c r="A47" t="s">
        <v>619</v>
      </c>
      <c r="B47" t="s">
        <v>620</v>
      </c>
      <c r="C47" t="s">
        <v>621</v>
      </c>
      <c r="D47" s="24" t="s">
        <v>622</v>
      </c>
      <c r="E47" s="22"/>
      <c r="F47" s="22"/>
    </row>
    <row r="48" spans="1:6" x14ac:dyDescent="0.25">
      <c r="A48" t="s">
        <v>623</v>
      </c>
      <c r="B48" t="s">
        <v>624</v>
      </c>
      <c r="C48" t="s">
        <v>607</v>
      </c>
      <c r="D48" s="24" t="s">
        <v>625</v>
      </c>
      <c r="E48" s="22"/>
      <c r="F48" s="22"/>
    </row>
    <row r="49" spans="1:6" x14ac:dyDescent="0.25">
      <c r="A49" t="s">
        <v>626</v>
      </c>
      <c r="B49" t="s">
        <v>627</v>
      </c>
      <c r="C49" t="s">
        <v>628</v>
      </c>
      <c r="D49" s="24" t="s">
        <v>629</v>
      </c>
      <c r="E49" s="22"/>
      <c r="F49" s="22"/>
    </row>
    <row r="50" spans="1:6" x14ac:dyDescent="0.25">
      <c r="A50" t="s">
        <v>630</v>
      </c>
      <c r="B50" t="s">
        <v>631</v>
      </c>
      <c r="C50" t="s">
        <v>600</v>
      </c>
      <c r="D50" s="24" t="s">
        <v>632</v>
      </c>
      <c r="E50" s="22"/>
      <c r="F50" s="22"/>
    </row>
    <row r="52" spans="1:6" x14ac:dyDescent="0.25">
      <c r="A52" s="10" t="s">
        <v>633</v>
      </c>
    </row>
    <row r="53" spans="1:6" x14ac:dyDescent="0.25">
      <c r="A53" s="18" t="s">
        <v>634</v>
      </c>
      <c r="B53" s="18" t="s">
        <v>635</v>
      </c>
      <c r="C53" s="18" t="s">
        <v>636</v>
      </c>
    </row>
    <row r="54" spans="1:6" x14ac:dyDescent="0.25">
      <c r="A54" s="16">
        <v>0.3</v>
      </c>
      <c r="B54" s="2">
        <v>751040.26134453784</v>
      </c>
      <c r="C54" s="2">
        <v>1117026.612143629</v>
      </c>
    </row>
    <row r="56" spans="1:6" x14ac:dyDescent="0.25">
      <c r="A56" s="16">
        <v>0.35</v>
      </c>
      <c r="B56" s="2">
        <v>805823.6948717949</v>
      </c>
      <c r="C56" s="2">
        <v>1198506.3360734689</v>
      </c>
    </row>
    <row r="58" spans="1:6" x14ac:dyDescent="0.25">
      <c r="A58" s="16">
        <v>0.4</v>
      </c>
      <c r="B58" s="2">
        <v>869737.7006535948</v>
      </c>
      <c r="C58" s="2">
        <v>1293566.013991615</v>
      </c>
    </row>
    <row r="60" spans="1:6" x14ac:dyDescent="0.25">
      <c r="A60" s="19">
        <v>0.45</v>
      </c>
      <c r="B60" s="20">
        <v>945272.43475935829</v>
      </c>
      <c r="C60" s="20">
        <v>1405909.2697130609</v>
      </c>
    </row>
    <row r="62" spans="1:6" x14ac:dyDescent="0.25">
      <c r="A62" s="16">
        <v>0.5</v>
      </c>
      <c r="B62" s="2">
        <v>1035914.1156862749</v>
      </c>
      <c r="C62" s="2">
        <v>1540721.176578796</v>
      </c>
    </row>
    <row r="64" spans="1:6" x14ac:dyDescent="0.25">
      <c r="A64" s="16">
        <v>0.55000000000000004</v>
      </c>
      <c r="B64" s="2">
        <v>1146698.3923747281</v>
      </c>
      <c r="C64" s="2">
        <v>1705491.28497025</v>
      </c>
    </row>
    <row r="66" spans="1:6" x14ac:dyDescent="0.25">
      <c r="A66" s="9" t="s">
        <v>637</v>
      </c>
    </row>
    <row r="67" spans="1:6" x14ac:dyDescent="0.25">
      <c r="A67" s="21" t="s">
        <v>638</v>
      </c>
      <c r="B67" s="22"/>
      <c r="C67" s="22"/>
      <c r="D67" s="22"/>
      <c r="E67" s="22"/>
      <c r="F67" s="22"/>
    </row>
    <row r="68" spans="1:6" x14ac:dyDescent="0.25">
      <c r="A68" s="21" t="s">
        <v>639</v>
      </c>
      <c r="B68" s="22"/>
      <c r="C68" s="22"/>
      <c r="D68" s="22"/>
      <c r="E68" s="22"/>
      <c r="F68" s="22"/>
    </row>
  </sheetData>
  <mergeCells count="19">
    <mergeCell ref="A1:F1"/>
    <mergeCell ref="D40:F40"/>
    <mergeCell ref="D45:F45"/>
    <mergeCell ref="D49:F49"/>
    <mergeCell ref="A10:F10"/>
    <mergeCell ref="A13:F13"/>
    <mergeCell ref="A68:F68"/>
    <mergeCell ref="A67:F67"/>
    <mergeCell ref="D50:F50"/>
    <mergeCell ref="D44:F44"/>
    <mergeCell ref="A11:F11"/>
    <mergeCell ref="D46:F46"/>
    <mergeCell ref="D41:F41"/>
    <mergeCell ref="D48:F48"/>
    <mergeCell ref="A12:F12"/>
    <mergeCell ref="D47:F47"/>
    <mergeCell ref="D43:F43"/>
    <mergeCell ref="D39:F39"/>
    <mergeCell ref="D42:F42"/>
  </mergeCells>
  <pageMargins left="0.75" right="0.75" top="1" bottom="1" header="0.5" footer="0.5"/>
  <headerFooter>
    <oddHeader>&amp;R&amp;"Aptos"&amp;1 &amp;K000000 1 - General Business#_x000D_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de Itens</vt:lpstr>
      <vt:lpstr>Resumo Executivo (P&amp;L)</vt:lpstr>
      <vt:lpstr>Detalhamento do Preço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Oliveira, Matheus</cp:lastModifiedBy>
  <dcterms:created xsi:type="dcterms:W3CDTF">2026-09-23T01:01:21Z</dcterms:created>
  <dcterms:modified xsi:type="dcterms:W3CDTF">2026-09-23T18:49:49Z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2026-09-23T12:19:40Z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472a3439-5d3a-4506-a3af-3346d7aac8c1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</Properties>
</file>