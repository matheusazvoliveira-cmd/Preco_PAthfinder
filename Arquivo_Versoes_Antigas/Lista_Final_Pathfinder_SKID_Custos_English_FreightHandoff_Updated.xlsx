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5905" yWindow="-900" windowWidth="26010" windowHeight="20985" tabRatio="600" firstSheet="0" activeTab="4" autoFilterDateGrouping="1"/>
  </bookViews>
  <sheets>
    <sheet name="Executive Summary (GDT Project)" sheetId="1" state="visible" r:id="rId1"/>
    <sheet name="Final Cost List" sheetId="2" state="visible" r:id="rId2"/>
    <sheet name="GDT Integration and Assembly" sheetId="3" state="visible" r:id="rId3"/>
    <sheet name="Missing Items" sheetId="4" state="visible" r:id="rId4"/>
    <sheet name="Freight Handoff" sheetId="5" state="visible" r:id="rId5"/>
  </sheets>
  <definedNames>
    <definedName name="_xlnm._FilterDatabase" localSheetId="1" hidden="1">'Final Cost List'!$A$1:$O$165</definedName>
    <definedName name="_xlnm._FilterDatabase" localSheetId="4" hidden="1">'Freight Handoff'!$A$2:$M$76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\R\$\ #,##0.00"/>
    <numFmt numFmtId="165" formatCode="\$\ #,##0.00"/>
    <numFmt numFmtId="166" formatCode="0.0%"/>
  </numFmts>
  <fonts count="1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3"/>
    </font>
    <font>
      <name val="Calibri"/>
      <b val="1"/>
      <sz val="11"/>
    </font>
    <font>
      <name val="Calibri"/>
      <b val="1"/>
      <color rgb="FF000000"/>
      <sz val="11"/>
    </font>
    <font>
      <name val="Calibri"/>
      <i val="1"/>
      <color rgb="FF808080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808080"/>
      <sz val="11"/>
    </font>
    <font>
      <name val="Calibri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2CC"/>
        <bgColor rgb="FFFFF2CC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1" fontId="0" fillId="0" borderId="0" pivotButton="0" quotePrefix="0" xfId="0"/>
    <xf numFmtId="0" fontId="4" fillId="0" borderId="1" pivotButton="0" quotePrefix="0" xfId="0"/>
    <xf numFmtId="0" fontId="3" fillId="0" borderId="1" pivotButton="0" quotePrefix="0" xfId="0"/>
    <xf numFmtId="0" fontId="5" fillId="0" borderId="1" pivotButton="0" quotePrefix="0" xfId="0"/>
    <xf numFmtId="166" fontId="6" fillId="3" borderId="2" pivotButton="0" quotePrefix="0" xfId="0"/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center" wrapText="1"/>
    </xf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0" fontId="8" fillId="0" borderId="1" pivotButton="0" quotePrefix="0" xfId="0"/>
    <xf numFmtId="0" fontId="9" fillId="2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0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vertical="center" wrapText="1"/>
    </xf>
    <xf numFmtId="0" fontId="0" fillId="4" borderId="0" pivotButton="0" quotePrefix="0" xfId="0"/>
    <xf numFmtId="0" fontId="0" fillId="5" borderId="0" pivotButton="0" quotePrefix="0" xfId="0"/>
    <xf numFmtId="0" fontId="11" fillId="0" borderId="0" pivotButton="0" quotePrefix="0" xfId="0"/>
    <xf numFmtId="0" fontId="0" fillId="0" borderId="0" pivotButton="0" quotePrefix="0" xfId="0"/>
    <xf numFmtId="0" fontId="11" fillId="0" borderId="1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5" topLeftCell="A6" activePane="bottomLeft" state="frozen"/>
      <selection pane="bottomLeft" activeCell="C15" sqref="C15"/>
    </sheetView>
  </sheetViews>
  <sheetFormatPr baseColWidth="8" defaultRowHeight="15"/>
  <cols>
    <col width="46" customWidth="1" style="35" min="1" max="1"/>
    <col width="20" customWidth="1" style="35" min="2" max="5"/>
    <col width="12" customWidth="1" style="35" min="6" max="6"/>
  </cols>
  <sheetData>
    <row r="1" ht="18.75" customHeight="1" s="35">
      <c r="A1" s="13" t="inlineStr">
        <is>
          <t>EXECUTIVE SUMMARY - MRS PATHFINDER GDT RAILCAR PROPOSAL</t>
        </is>
      </c>
      <c r="B1" s="14" t="n"/>
      <c r="C1" s="14" t="n"/>
      <c r="D1" s="14" t="n"/>
      <c r="E1" s="14" t="n"/>
      <c r="F1" s="14" t="n"/>
      <c r="G1" s="14" t="n"/>
      <c r="H1" s="14" t="n"/>
    </row>
    <row r="2">
      <c r="A2" s="15" t="inlineStr">
        <is>
          <t>Exchange Rate:</t>
        </is>
      </c>
      <c r="B2" s="14" t="inlineStr">
        <is>
          <t>USD 1.00 = BRL 5.16</t>
        </is>
      </c>
      <c r="C2" s="14" t="n"/>
      <c r="D2" s="14" t="n"/>
      <c r="E2" s="14" t="n"/>
      <c r="F2" s="14" t="n"/>
      <c r="G2" s="14" t="n"/>
      <c r="H2" s="14" t="n"/>
    </row>
    <row r="3">
      <c r="A3" s="15" t="inlineStr">
        <is>
          <t>Profit Margin (%):</t>
        </is>
      </c>
      <c r="B3" s="16" t="n">
        <v>0.45</v>
      </c>
      <c r="C3" s="17" t="inlineStr">
        <is>
          <t>&lt;- editable input. Change this to update the sale price table below.</t>
        </is>
      </c>
      <c r="D3" s="14" t="n"/>
      <c r="E3" s="14" t="n"/>
      <c r="F3" s="14" t="n"/>
      <c r="G3" s="14" t="n"/>
      <c r="H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</row>
    <row r="5">
      <c r="A5" s="18" t="inlineStr">
        <is>
          <t>1) COST / PURE BREAKEVEN (initial Pathfinder price, no margin)</t>
        </is>
      </c>
      <c r="B5" s="19" t="n"/>
      <c r="C5" s="19" t="n"/>
      <c r="D5" s="19" t="n"/>
      <c r="E5" s="19" t="n"/>
      <c r="F5" s="19" t="n"/>
      <c r="G5" s="14" t="n"/>
      <c r="H5" s="14" t="n"/>
    </row>
    <row r="6" ht="30" customHeight="1" s="35">
      <c r="A6" s="20" t="inlineStr">
        <is>
          <t>Project Module</t>
        </is>
      </c>
      <c r="B6" s="20" t="inlineStr">
        <is>
          <t>Cost BRL (Excl. Taxes)</t>
        </is>
      </c>
      <c r="C6" s="20" t="inlineStr">
        <is>
          <t>Cost USD (Excl. Taxes)</t>
        </is>
      </c>
      <c r="D6" s="20" t="inlineStr">
        <is>
          <t>Cost BRL (Incl. Taxes)</t>
        </is>
      </c>
      <c r="E6" s="20" t="inlineStr">
        <is>
          <t>Cost USD (Incl. Taxes)</t>
        </is>
      </c>
      <c r="F6" s="20" t="inlineStr">
        <is>
          <t>% of Total</t>
        </is>
      </c>
      <c r="G6" s="14" t="n"/>
      <c r="H6" s="14" t="n"/>
    </row>
    <row r="7">
      <c r="A7" s="14" t="inlineStr">
        <is>
          <t>1. Equipment &amp; Components (BOM Pathfinder + SKID)</t>
        </is>
      </c>
      <c r="B7" s="21">
        <f>SUM('Final Cost List'!K2:K163)</f>
        <v/>
      </c>
      <c r="C7" s="22" t="n">
        <v>350000</v>
      </c>
      <c r="D7" s="21">
        <f>SUM('Final Cost List'!L2:L163)</f>
        <v/>
      </c>
      <c r="E7" s="22">
        <f>SUM('Final Cost List'!J2:J163)</f>
        <v/>
      </c>
      <c r="F7" s="23">
        <f>B7/$B$9</f>
        <v/>
      </c>
      <c r="G7" s="14" t="n"/>
      <c r="H7" s="14" t="n"/>
    </row>
    <row r="8">
      <c r="A8" s="14" t="inlineStr">
        <is>
          <t>2. Adaptation, Container &amp; Labor (Rollup GDT)</t>
        </is>
      </c>
      <c r="B8" s="21">
        <f>SUM('GDT Integration and Assembly'!C2:C18)</f>
        <v/>
      </c>
      <c r="C8" s="22">
        <f>SUM('GDT Integration and Assembly'!D2:D18)</f>
        <v/>
      </c>
      <c r="D8" s="21">
        <f>SUM('GDT Integration and Assembly'!E2:E18)</f>
        <v/>
      </c>
      <c r="E8" s="22">
        <f>SUM('GDT Integration and Assembly'!F2:F18)</f>
        <v/>
      </c>
      <c r="F8" s="23">
        <f>B8/$B$9</f>
        <v/>
      </c>
      <c r="G8" s="14" t="n"/>
      <c r="H8" s="14" t="n"/>
    </row>
    <row r="9">
      <c r="A9" s="15" t="inlineStr">
        <is>
          <t>TOTAL CONSOLIDATED GDT RAILCAR PROJECT (COST)</t>
        </is>
      </c>
      <c r="B9" s="24">
        <f>SUM(B7:B8)</f>
        <v/>
      </c>
      <c r="C9" s="25">
        <f>SUM(C7:C8)</f>
        <v/>
      </c>
      <c r="D9" s="24">
        <f>SUM(D7:D8)</f>
        <v/>
      </c>
      <c r="E9" s="25">
        <f>SUM(E7:E8)</f>
        <v/>
      </c>
      <c r="F9" s="26" t="n">
        <v>1</v>
      </c>
      <c r="G9" s="14" t="n"/>
      <c r="H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</row>
    <row r="11">
      <c r="A11" s="27" t="inlineStr">
        <is>
          <t>2) SALE PRICE WITH PROFIT MARGIN (driven by cell B3)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 ht="30" customHeight="1" s="35">
      <c r="A12" s="20" t="inlineStr">
        <is>
          <t>Project Module</t>
        </is>
      </c>
      <c r="B12" s="20" t="inlineStr">
        <is>
          <t>Sale Price BRL (Excl. Taxes)</t>
        </is>
      </c>
      <c r="C12" s="29" t="inlineStr">
        <is>
          <t>net Price USD (Excl. Taxes)</t>
        </is>
      </c>
      <c r="D12" s="20" t="inlineStr">
        <is>
          <t>Sale Price BRL (Incl. Taxes)</t>
        </is>
      </c>
      <c r="E12" s="20" t="inlineStr">
        <is>
          <t>Sale Price USD (Incl. Taxes)</t>
        </is>
      </c>
      <c r="F12" s="20" t="inlineStr">
        <is>
          <t>% of Total</t>
        </is>
      </c>
      <c r="G12" s="14" t="n"/>
      <c r="H12" s="14" t="n"/>
    </row>
    <row r="13">
      <c r="A13" s="14" t="inlineStr">
        <is>
          <t>1. Equipment &amp; Components (BOM Pathfinder + SKID)</t>
        </is>
      </c>
      <c r="B13" s="21">
        <f>B7*(1+$B$3)</f>
        <v/>
      </c>
      <c r="C13" s="22">
        <f>C7/(1-$B$3)</f>
        <v/>
      </c>
      <c r="D13" s="21">
        <f>D7*(1+$B$3)</f>
        <v/>
      </c>
      <c r="E13" s="22">
        <f>E7*(1+$B$3)</f>
        <v/>
      </c>
      <c r="F13" s="23">
        <f>B13/$B$15</f>
        <v/>
      </c>
      <c r="G13" s="14" t="n"/>
      <c r="H13" s="14" t="n"/>
    </row>
    <row r="14">
      <c r="A14" s="14" t="inlineStr">
        <is>
          <t>2. Adaptation, Container &amp; Labor (Rollup GDT)</t>
        </is>
      </c>
      <c r="B14" s="21">
        <f>B8*(1+$B$3)</f>
        <v/>
      </c>
      <c r="C14" s="22">
        <f>C8/(1-$B$3)</f>
        <v/>
      </c>
      <c r="D14" s="21">
        <f>D8*(1+$B$3)</f>
        <v/>
      </c>
      <c r="E14" s="22">
        <f>E8*(1+$B$3)</f>
        <v/>
      </c>
      <c r="F14" s="23">
        <f>B14/$B$15</f>
        <v/>
      </c>
      <c r="G14" s="14" t="n"/>
      <c r="H14" s="14" t="n"/>
    </row>
    <row r="15">
      <c r="A15" s="15" t="inlineStr">
        <is>
          <t>TOTAL CONSOLIDATED GDT RAILCAR PROJECT (SALE PRICE)</t>
        </is>
      </c>
      <c r="B15" s="24">
        <f>SUM(B13:B14)</f>
        <v/>
      </c>
      <c r="C15" s="25">
        <f>SUM(C13:C14)</f>
        <v/>
      </c>
      <c r="D15" s="24">
        <f>SUM(D13:D14)</f>
        <v/>
      </c>
      <c r="E15" s="25">
        <f>SUM(E13:E14)</f>
        <v/>
      </c>
      <c r="F15" s="26" t="n">
        <v>1</v>
      </c>
      <c r="G15" s="14" t="n"/>
      <c r="H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</row>
  </sheetData>
  <pageMargins left="0.75" right="0.75" top="1" bottom="1" header="0.5" footer="0.5"/>
  <headerFooter>
    <oddHeader>&amp;R&amp;"Aptos"&amp;1 &amp;K000000 1 - General Business#_x000d_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3"/>
  <sheetViews>
    <sheetView workbookViewId="0">
      <pane ySplit="1" topLeftCell="A12" activePane="bottomLeft" state="frozen"/>
      <selection pane="bottomLeft" activeCell="C19" sqref="C19"/>
    </sheetView>
  </sheetViews>
  <sheetFormatPr baseColWidth="8" defaultColWidth="18" defaultRowHeight="35.25" customHeight="1"/>
  <cols>
    <col width="42" customWidth="1" style="8" min="1" max="1"/>
    <col width="39" customWidth="1" style="8" min="2" max="2"/>
    <col width="40" customWidth="1" style="8" min="3" max="3"/>
    <col width="21.7109375" customWidth="1" style="8" min="4" max="4"/>
    <col width="16" customWidth="1" style="8" min="5" max="5"/>
    <col width="14.42578125" customWidth="1" style="8" min="6" max="6"/>
    <col width="17.85546875" customWidth="1" style="8" min="7" max="7"/>
    <col width="23.140625" customWidth="1" style="8" min="8" max="8"/>
    <col width="19.140625" customWidth="1" style="8" min="9" max="9"/>
    <col width="32" customWidth="1" style="8" min="10" max="11"/>
    <col width="27" customWidth="1" style="8" min="12" max="12"/>
    <col width="9.140625" customWidth="1" style="35" min="13" max="13"/>
    <col width="22" customWidth="1" style="8" min="14" max="14"/>
    <col width="29.42578125" customWidth="1" style="8" min="15" max="15"/>
    <col width="97.5703125" bestFit="1" customWidth="1" style="8" min="16" max="16"/>
    <col width="52.85546875" customWidth="1" style="8" min="17" max="17"/>
    <col width="20" customWidth="1" style="35" min="18" max="18"/>
    <col width="44" customWidth="1" style="8" min="19" max="19"/>
    <col width="26" customWidth="1" style="8" min="20" max="20"/>
    <col width="26" customWidth="1" style="35" min="21" max="22"/>
    <col width="18" customWidth="1" style="8" min="23" max="23"/>
    <col width="18" customWidth="1" style="35" min="24" max="25"/>
    <col width="55" customWidth="1" style="35" min="26" max="26"/>
    <col width="16" customWidth="1" style="35" min="27" max="27"/>
    <col width="18" customWidth="1" style="8" min="28" max="28"/>
    <col width="18" customWidth="1" style="8" min="29" max="16384"/>
  </cols>
  <sheetData>
    <row r="1" ht="35.25" customHeight="1" s="35">
      <c r="A1" s="7" t="inlineStr">
        <is>
          <t>Part Number</t>
        </is>
      </c>
      <c r="B1" s="7" t="inlineStr">
        <is>
          <t>Description</t>
        </is>
      </c>
      <c r="C1" s="7" t="inlineStr">
        <is>
          <t>System</t>
        </is>
      </c>
      <c r="D1" s="7" t="inlineStr">
        <is>
          <t>SubSystem</t>
        </is>
      </c>
      <c r="E1" s="7" t="inlineStr">
        <is>
          <t>Quantity</t>
        </is>
      </c>
      <c r="F1" s="7" t="inlineStr">
        <is>
          <t>BOM Price (USD Unit)</t>
        </is>
      </c>
      <c r="G1" t="inlineStr">
        <is>
          <t>Final Unit Price USD (Excluding Taxes)</t>
        </is>
      </c>
      <c r="H1" s="7" t="inlineStr">
        <is>
          <t>Final Total Price USD (Excluding Taxes)</t>
        </is>
      </c>
      <c r="I1" s="7" t="inlineStr">
        <is>
          <t>Final Unit Price USD (Including Taxes)</t>
        </is>
      </c>
      <c r="J1" s="7" t="inlineStr">
        <is>
          <t>Final Total Price USD (Including Taxes)</t>
        </is>
      </c>
      <c r="K1" s="7" t="inlineStr">
        <is>
          <t>Total Price BRL (Excluding Taxes)</t>
        </is>
      </c>
      <c r="L1" s="7" t="inlineStr">
        <is>
          <t>Total Price BRL (Including Taxes)</t>
        </is>
      </c>
      <c r="M1" s="7" t="inlineStr">
        <is>
          <t>PAC Price (BRL Unit)</t>
        </is>
      </c>
      <c r="N1" t="inlineStr">
        <is>
          <t>BOM Price (USD Unit)</t>
        </is>
      </c>
      <c r="O1" s="7" t="inlineStr">
        <is>
          <t>Cost Source</t>
        </is>
      </c>
      <c r="P1" s="7" t="inlineStr">
        <is>
          <t>Status / Notes</t>
        </is>
      </c>
      <c r="R1" s="28" t="inlineStr">
        <is>
          <t>Simple Item Category</t>
        </is>
      </c>
      <c r="S1" s="28" t="inlineStr">
        <is>
          <t>Nationalization Status</t>
        </is>
      </c>
      <c r="T1" s="28" t="inlineStr">
        <is>
          <t>Import Scenario (BOM+TP+Freight+Duty, BRL Incl. Tax)</t>
        </is>
      </c>
      <c r="U1" s="28" t="inlineStr">
        <is>
          <t>Nationalized/PAC Price (BRL Incl. Tax)</t>
        </is>
      </c>
      <c r="V1" s="28" t="inlineStr">
        <is>
          <t>Cheaper Option</t>
        </is>
      </c>
      <c r="W1" s="30" t="inlineStr">
        <is>
          <t>Peso (kg)</t>
        </is>
      </c>
      <c r="X1" s="30" t="inlineStr">
        <is>
          <t>NCM</t>
        </is>
      </c>
      <c r="Y1" s="30" t="inlineStr">
        <is>
          <t>Dimensions (C x A x L, in)</t>
        </is>
      </c>
      <c r="Z1" s="30" t="inlineStr">
        <is>
          <t>Weight Data Source</t>
        </is>
      </c>
      <c r="AA1" s="30" t="inlineStr">
        <is>
          <t>Peso - Confidence</t>
        </is>
      </c>
    </row>
    <row r="2" ht="35.25" customHeight="1" s="35">
      <c r="A2" s="8" t="inlineStr">
        <is>
          <t>41A296352CMP437</t>
        </is>
      </c>
      <c r="B2" s="8" t="inlineStr">
        <is>
          <t>Dual Processor Module (DPM)+ LXA (Distributed Power Radio)</t>
        </is>
      </c>
      <c r="C2" s="8" t="inlineStr">
        <is>
          <t>Controls (MCA, train control, er etc)</t>
        </is>
      </c>
      <c r="D2" s="8" t="inlineStr">
        <is>
          <t>LXA</t>
        </is>
      </c>
      <c r="E2" s="11" t="n">
        <v>1</v>
      </c>
      <c r="F2" s="9" t="n">
        <v>63100.8192</v>
      </c>
      <c r="G2" s="4" t="n">
        <v>96312.86923447881</v>
      </c>
      <c r="H2" s="9" t="n">
        <v>96312.86923447881</v>
      </c>
      <c r="I2" s="9" t="n">
        <v>120602.1402886036</v>
      </c>
      <c r="J2" s="9" t="n">
        <v>120602.1402886036</v>
      </c>
      <c r="K2" s="10" t="n">
        <v>496974.4052499107</v>
      </c>
      <c r="L2" s="10" t="n">
        <v>622307.0438891945</v>
      </c>
      <c r="O2" s="8" t="inlineStr">
        <is>
          <t>Imported BOM (USA)</t>
        </is>
      </c>
      <c r="P2" s="8" t="inlineStr">
        <is>
          <t>TP included; international freight updated to 9%</t>
        </is>
      </c>
      <c r="W2" t="n">
        <v>4.536</v>
      </c>
      <c r="X2" t="inlineStr">
        <is>
          <t>90328990</t>
        </is>
      </c>
      <c r="Z2" t="inlineStr">
        <is>
          <t>Engineering weight (Harland Updated Weights.xlsx)</t>
        </is>
      </c>
      <c r="AA2" t="inlineStr">
        <is>
          <t>High</t>
        </is>
      </c>
    </row>
    <row r="3" ht="35.25" customHeight="1" s="35">
      <c r="A3" s="8" t="inlineStr">
        <is>
          <t>37495P</t>
        </is>
      </c>
      <c r="B3" s="8" t="inlineStr">
        <is>
          <t>KIT ETMS VIRGIN TRAINS FEC EVO44</t>
        </is>
      </c>
      <c r="C3" s="8" t="inlineStr">
        <is>
          <t>PTC</t>
        </is>
      </c>
      <c r="D3" s="8" t="inlineStr">
        <is>
          <t>PTC KIT MASTER</t>
        </is>
      </c>
      <c r="E3" s="11" t="n">
        <v>1</v>
      </c>
      <c r="F3" s="9" t="n">
        <v>28529</v>
      </c>
      <c r="G3" s="4" t="n">
        <v>43544.757124016</v>
      </c>
      <c r="H3" s="9" t="n">
        <v>43544.757124016</v>
      </c>
      <c r="I3" s="9" t="n">
        <v>54526.36754822941</v>
      </c>
      <c r="J3" s="9" t="n">
        <v>54526.36754822941</v>
      </c>
      <c r="K3" s="10" t="n">
        <v>224690.9467599226</v>
      </c>
      <c r="L3" s="10" t="n">
        <v>281356.0565488638</v>
      </c>
      <c r="O3" s="8" t="inlineStr">
        <is>
          <t>Imported BOM (USA)</t>
        </is>
      </c>
      <c r="P3" s="8" t="inlineStr">
        <is>
          <t>Direct supplier purchase; TP excluded; international freight 9%</t>
        </is>
      </c>
      <c r="W3" t="n">
        <v>45.359</v>
      </c>
      <c r="Z3" t="inlineStr">
        <is>
          <t>Engineering weight (Harland Updated Weights.xlsx)</t>
        </is>
      </c>
      <c r="AA3" t="inlineStr">
        <is>
          <t>High</t>
        </is>
      </c>
    </row>
    <row r="4" ht="35.25" customHeight="1" s="35">
      <c r="A4" s="8" t="inlineStr">
        <is>
          <t>84A222059P5</t>
        </is>
      </c>
      <c r="B4" s="8" t="inlineStr">
        <is>
          <t>BATTERIES</t>
        </is>
      </c>
      <c r="C4" s="8" t="inlineStr">
        <is>
          <t>Power</t>
        </is>
      </c>
      <c r="D4" s="8" t="inlineStr">
        <is>
          <t>POWER</t>
        </is>
      </c>
      <c r="E4" s="11" t="n">
        <v>2</v>
      </c>
      <c r="F4" s="9" t="n">
        <v>15685.42</v>
      </c>
      <c r="G4" s="4" t="n">
        <v>20427.62439944</v>
      </c>
      <c r="H4" s="9" t="n">
        <v>40855.24879888001</v>
      </c>
      <c r="I4" s="9" t="n">
        <v>25579.29426426247</v>
      </c>
      <c r="J4" s="9" t="n">
        <v>51158.58852852493</v>
      </c>
      <c r="K4" s="10" t="n">
        <v>210813.0838022208</v>
      </c>
      <c r="L4" s="10" t="n">
        <v>263978.3168071887</v>
      </c>
      <c r="O4" s="8" t="inlineStr">
        <is>
          <t>Imported BOM (USA)</t>
        </is>
      </c>
      <c r="P4" s="8" t="inlineStr">
        <is>
          <t>TP included; international freight updated to 9%</t>
        </is>
      </c>
      <c r="W4" t="n">
        <v>1123.095</v>
      </c>
      <c r="Z4" t="inlineStr">
        <is>
          <t>Engineering weight (Harland Updated Weights.xlsx)</t>
        </is>
      </c>
      <c r="AA4" t="inlineStr">
        <is>
          <t>High</t>
        </is>
      </c>
    </row>
    <row r="5" ht="35.25" customHeight="1" s="35">
      <c r="A5" s="8" t="inlineStr">
        <is>
          <t>41A296352LUG24</t>
        </is>
      </c>
      <c r="B5" s="8" t="inlineStr">
        <is>
          <t>CSX Antenna Enclosure Arrangement</t>
        </is>
      </c>
      <c r="C5" s="8" t="inlineStr">
        <is>
          <t>Connectivity</t>
        </is>
      </c>
      <c r="D5" s="8" t="inlineStr">
        <is>
          <t>ANTENNA KIT Master</t>
        </is>
      </c>
      <c r="E5" s="11" t="n">
        <v>1</v>
      </c>
      <c r="F5" s="9" t="n">
        <v>30000</v>
      </c>
      <c r="G5" s="4" t="n">
        <v>39069.96</v>
      </c>
      <c r="H5" s="9" t="n">
        <v>39069.96</v>
      </c>
      <c r="I5" s="9" t="n">
        <v>48923.06536438768</v>
      </c>
      <c r="J5" s="9" t="n">
        <v>48923.06536438768</v>
      </c>
      <c r="K5" s="10" t="n">
        <v>201600.9936</v>
      </c>
      <c r="L5" s="10" t="n">
        <v>252443.0172802404</v>
      </c>
      <c r="O5" s="8" t="inlineStr">
        <is>
          <t>Imported BOM (USA)</t>
        </is>
      </c>
      <c r="P5" s="8" t="inlineStr">
        <is>
          <t>TP included; international freight updated to 9%</t>
        </is>
      </c>
      <c r="W5" t="n">
        <v>136.078</v>
      </c>
      <c r="Z5" t="inlineStr">
        <is>
          <t>Engineering weight (Harland Updated Weights.xlsx)</t>
        </is>
      </c>
      <c r="AA5" t="inlineStr">
        <is>
          <t>High</t>
        </is>
      </c>
    </row>
    <row r="6" ht="51.75" customHeight="1" s="35">
      <c r="A6" s="8" t="inlineStr">
        <is>
          <t>84A215295P62</t>
        </is>
      </c>
      <c r="B6" s="8" t="inlineStr">
        <is>
          <t>Pneumatic Brake Control System (Including lament and control portions) Includes EM EAB Control Functionality</t>
        </is>
      </c>
      <c r="C6" s="8" t="inlineStr">
        <is>
          <t>Air</t>
        </is>
      </c>
      <c r="D6" s="8" t="inlineStr">
        <is>
          <t>Fastbrake</t>
        </is>
      </c>
      <c r="E6" s="11" t="n">
        <v>1</v>
      </c>
      <c r="F6" s="9" t="n">
        <v>23409.1</v>
      </c>
      <c r="G6" s="4" t="n">
        <v>35730.0842648464</v>
      </c>
      <c r="H6" s="9" t="n">
        <v>35730.0842648464</v>
      </c>
      <c r="I6" s="9" t="n">
        <v>44740.90190939945</v>
      </c>
      <c r="J6" s="9" t="n">
        <v>44740.90190939945</v>
      </c>
      <c r="K6" s="10" t="n">
        <v>184367.2348066074</v>
      </c>
      <c r="L6" s="10" t="n">
        <v>230863.0538525012</v>
      </c>
      <c r="O6" s="8" t="inlineStr">
        <is>
          <t>Imported BOM (USA)</t>
        </is>
      </c>
      <c r="P6" s="8" t="inlineStr">
        <is>
          <t>Direct supplier purchase; TP excluded; international freight 9%</t>
        </is>
      </c>
      <c r="W6" t="n">
        <v>134.263</v>
      </c>
      <c r="Z6" t="inlineStr">
        <is>
          <t>Engineering weight (Harland Updated Weights.xlsx)</t>
        </is>
      </c>
      <c r="AA6" t="inlineStr">
        <is>
          <t>High</t>
        </is>
      </c>
    </row>
    <row r="7" ht="35.25" customHeight="1" s="35">
      <c r="A7" s="8" t="inlineStr">
        <is>
          <t>41A296352DNP37</t>
        </is>
      </c>
      <c r="B7" s="8" t="inlineStr">
        <is>
          <t>RADIO PRAD PTC RADIO</t>
        </is>
      </c>
      <c r="C7" s="8" t="inlineStr">
        <is>
          <t>PTC</t>
        </is>
      </c>
      <c r="D7" s="8" t="inlineStr">
        <is>
          <t>PTC</t>
        </is>
      </c>
      <c r="E7" s="11" t="n">
        <v>1</v>
      </c>
      <c r="F7" s="9" t="n">
        <v>20000</v>
      </c>
      <c r="G7" s="4" t="n">
        <v>26046.64</v>
      </c>
      <c r="H7" s="9" t="n">
        <v>26046.64</v>
      </c>
      <c r="I7" s="9" t="n">
        <v>32615.37690959179</v>
      </c>
      <c r="J7" s="9" t="n">
        <v>32615.37690959179</v>
      </c>
      <c r="K7" s="10" t="n">
        <v>134400.6624</v>
      </c>
      <c r="L7" s="10" t="n">
        <v>168295.3448534936</v>
      </c>
      <c r="O7" s="8" t="inlineStr">
        <is>
          <t>Imported BOM (USA)</t>
        </is>
      </c>
      <c r="P7" s="8" t="inlineStr">
        <is>
          <t>Direct supplier purchase; TP excluded; international freight 9%</t>
        </is>
      </c>
      <c r="W7" t="n">
        <v>9.616</v>
      </c>
      <c r="Z7" t="inlineStr">
        <is>
          <t>Engineering weight (Harland Updated Weights.xlsx)</t>
        </is>
      </c>
      <c r="AA7" t="inlineStr">
        <is>
          <t>High</t>
        </is>
      </c>
    </row>
    <row r="8" ht="35.25" customHeight="1" s="35">
      <c r="A8" s="8" t="inlineStr">
        <is>
          <t>17FM878A6</t>
        </is>
      </c>
      <c r="B8" s="8" t="inlineStr">
        <is>
          <t>NIO 2.0</t>
        </is>
      </c>
      <c r="C8" s="8" t="inlineStr">
        <is>
          <t>Controls (MCA, train control, er etc)</t>
        </is>
      </c>
      <c r="D8" s="8" t="inlineStr">
        <is>
          <t>MCA</t>
        </is>
      </c>
      <c r="E8" s="11" t="n">
        <v>3</v>
      </c>
      <c r="F8" s="9" t="n">
        <v>5176.9118</v>
      </c>
      <c r="G8" s="4" t="n">
        <v>6742.057898317599</v>
      </c>
      <c r="H8" s="9" t="n">
        <v>20226.1736949528</v>
      </c>
      <c r="I8" s="9" t="n">
        <v>8442.346479235663</v>
      </c>
      <c r="J8" s="9" t="n">
        <v>25327.03943770699</v>
      </c>
      <c r="K8" s="10" t="n">
        <v>104367.0562659564</v>
      </c>
      <c r="L8" s="10" t="n">
        <v>130687.5234985681</v>
      </c>
      <c r="O8" s="8" t="inlineStr">
        <is>
          <t>Imported BOM (USA)</t>
        </is>
      </c>
      <c r="P8" s="8" t="inlineStr">
        <is>
          <t>TP included; international freight updated to 9%</t>
        </is>
      </c>
      <c r="W8" t="n">
        <v>8.618</v>
      </c>
      <c r="Z8" t="inlineStr">
        <is>
          <t>Engineering weight (Harland Updated Weights.xlsx)</t>
        </is>
      </c>
      <c r="AA8" t="inlineStr">
        <is>
          <t>High</t>
        </is>
      </c>
    </row>
    <row r="9" ht="35.25" customHeight="1" s="35">
      <c r="A9" s="8" t="inlineStr">
        <is>
          <t>L7000083-900</t>
        </is>
      </c>
      <c r="B9" s="8" t="inlineStr">
        <is>
          <t>Wireless Communications Management Module, Gen 3 (WCM3)​</t>
        </is>
      </c>
      <c r="C9" s="8" t="inlineStr">
        <is>
          <t>Controls (MCA, train control, er etc)</t>
        </is>
      </c>
      <c r="D9" s="8" t="inlineStr">
        <is>
          <t>TRAIN CONTROL</t>
        </is>
      </c>
      <c r="E9" s="11" t="n">
        <v>2</v>
      </c>
      <c r="F9" s="9" t="n">
        <v>5000</v>
      </c>
      <c r="G9" s="4" t="n">
        <v>7631.66552</v>
      </c>
      <c r="H9" s="9" t="n">
        <v>15263.33104</v>
      </c>
      <c r="I9" s="9" t="n">
        <v>9556.305434510396</v>
      </c>
      <c r="J9" s="9" t="n">
        <v>19112.61086902079</v>
      </c>
      <c r="K9" s="10" t="n">
        <v>78758.7881664</v>
      </c>
      <c r="L9" s="10" t="n">
        <v>98621.07208414728</v>
      </c>
      <c r="O9" s="8" t="inlineStr">
        <is>
          <t>Imported BOM (USA)</t>
        </is>
      </c>
      <c r="P9" s="8" t="inlineStr">
        <is>
          <t>Made by GET; retained for GET impact analysis</t>
        </is>
      </c>
      <c r="R9" t="inlineStr">
        <is>
          <t>Wire/Cable</t>
        </is>
      </c>
      <c r="S9" t="inlineStr">
        <is>
          <t>Low confidence - no comparable PAC item found</t>
        </is>
      </c>
      <c r="T9" s="3" t="n">
        <v>98621.07208414728</v>
      </c>
      <c r="U9" s="3" t="n">
        <v>7609.408031064615</v>
      </c>
      <c r="V9" t="inlineStr">
        <is>
          <t>PAC/National is cheaper (by R$ 91,011.66)</t>
        </is>
      </c>
      <c r="W9" t="n">
        <v>2.268</v>
      </c>
      <c r="Z9" t="inlineStr">
        <is>
          <t>Engineering weight (Harland Updated Weights.xlsx)</t>
        </is>
      </c>
      <c r="AA9" t="inlineStr">
        <is>
          <t>High</t>
        </is>
      </c>
    </row>
    <row r="10" ht="35.25" customHeight="1" s="35">
      <c r="A10" s="8" t="inlineStr">
        <is>
          <t>84A237085AEP121</t>
        </is>
      </c>
      <c r="B10" s="8" t="inlineStr">
        <is>
          <t>8 Slot ACC Chassis for MCA w/ i7 HPEAP and SMM2 Cards</t>
        </is>
      </c>
      <c r="C10" s="8" t="inlineStr">
        <is>
          <t>Controls (MCA, train control, er etc)</t>
        </is>
      </c>
      <c r="D10" s="8" t="inlineStr">
        <is>
          <t>TRAIN CONTROL</t>
        </is>
      </c>
      <c r="E10" s="11" t="n">
        <v>1</v>
      </c>
      <c r="F10" s="9" t="n">
        <v>8000</v>
      </c>
      <c r="G10" s="4" t="n">
        <v>12210.664832</v>
      </c>
      <c r="H10" s="9" t="n">
        <v>12210.664832</v>
      </c>
      <c r="I10" s="9" t="n">
        <v>15290.08869521663</v>
      </c>
      <c r="J10" s="9" t="n">
        <v>15290.08869521663</v>
      </c>
      <c r="K10" s="10" t="n">
        <v>63007.03053312001</v>
      </c>
      <c r="L10" s="10" t="n">
        <v>78896.8576673178</v>
      </c>
      <c r="O10" s="8" t="inlineStr">
        <is>
          <t>Imported BOM (USA)</t>
        </is>
      </c>
      <c r="P10" s="8" t="inlineStr">
        <is>
          <t>TP included; international freight updated to 9%</t>
        </is>
      </c>
      <c r="W10" t="n">
        <v>9.071999999999999</v>
      </c>
      <c r="Z10" t="inlineStr">
        <is>
          <t>Engineering weight (Harland Updated Weights.xlsx)</t>
        </is>
      </c>
      <c r="AA10" t="inlineStr">
        <is>
          <t>High</t>
        </is>
      </c>
    </row>
    <row r="11" ht="35.25" customHeight="1" s="35">
      <c r="A11" s="8" t="inlineStr">
        <is>
          <t>17FL472A2</t>
        </is>
      </c>
      <c r="B11" s="8" t="inlineStr">
        <is>
          <t>TMC PANEL</t>
        </is>
      </c>
      <c r="C11" s="8" t="inlineStr">
        <is>
          <t>SKID Assembly</t>
        </is>
      </c>
      <c r="D11" s="8" t="inlineStr">
        <is>
          <t>SKID (Skid)</t>
        </is>
      </c>
      <c r="E11" s="11" t="n">
        <v>1</v>
      </c>
      <c r="H11" s="4" t="n">
        <v>11326.96746476357</v>
      </c>
      <c r="I11" s="4" t="n">
        <v>14183.53050934582</v>
      </c>
      <c r="J11" s="4" t="n">
        <v>14183.53050934582</v>
      </c>
      <c r="K11" s="3" t="n">
        <v>58447.15211818</v>
      </c>
      <c r="L11" s="3" t="n">
        <v>73187.01742822441</v>
      </c>
      <c r="M11" s="3" t="n">
        <v>58447.15211818</v>
      </c>
      <c r="O11" s="8" t="inlineStr">
        <is>
          <t>PAC (Brazil BRL)</t>
        </is>
      </c>
      <c r="P11" s="8" t="inlineStr">
        <is>
          <t>Direct supplier purchase; TP excluded; international freight 9%</t>
        </is>
      </c>
      <c r="W11" t="n">
        <v>20.412</v>
      </c>
      <c r="X11" t="inlineStr">
        <is>
          <t>85371090</t>
        </is>
      </c>
      <c r="Z11" t="inlineStr">
        <is>
          <t>Engineering weight (Harland Updated Weights.xlsx)</t>
        </is>
      </c>
      <c r="AA11" t="inlineStr">
        <is>
          <t>High</t>
        </is>
      </c>
    </row>
    <row r="12" ht="35.25" customHeight="1" s="35">
      <c r="A12" s="8" t="inlineStr">
        <is>
          <t>17KC108E28</t>
        </is>
      </c>
      <c r="B12" s="8" t="inlineStr">
        <is>
          <t>MASTER CONTROLLER</t>
        </is>
      </c>
      <c r="C12" s="8" t="inlineStr">
        <is>
          <t>Controls (MCA, train control, er etc)</t>
        </is>
      </c>
      <c r="D12" s="8" t="inlineStr">
        <is>
          <t>TRAIN CONTROL</t>
        </is>
      </c>
      <c r="E12" s="11" t="n">
        <v>1</v>
      </c>
      <c r="F12" s="9" t="n">
        <v>5877.102</v>
      </c>
      <c r="H12" s="9" t="n">
        <v>9464.19966872688</v>
      </c>
      <c r="I12" s="9" t="n">
        <v>11850.98881633719</v>
      </c>
      <c r="J12" s="9" t="n">
        <v>11850.98881633719</v>
      </c>
      <c r="K12" s="10" t="n">
        <v>48835.2702906307</v>
      </c>
      <c r="L12" s="10" t="n">
        <v>61151.1022922999</v>
      </c>
      <c r="O12" s="8" t="inlineStr">
        <is>
          <t>GET</t>
        </is>
      </c>
      <c r="P12" s="8" t="inlineStr">
        <is>
          <t>TP included; international freight updated to 9%</t>
        </is>
      </c>
      <c r="W12" t="n">
        <v>25.855</v>
      </c>
      <c r="Z12" t="inlineStr">
        <is>
          <t>Engineering weight (Harland Updated Weights.xlsx)</t>
        </is>
      </c>
      <c r="AA12" t="inlineStr">
        <is>
          <t>High</t>
        </is>
      </c>
    </row>
    <row r="13" ht="35.25" customHeight="1" s="35">
      <c r="A13" s="8" t="inlineStr">
        <is>
          <t>84A215295P73</t>
        </is>
      </c>
      <c r="B13" s="8" t="inlineStr">
        <is>
          <t>Air Brake Handle Assembly (AAR Console)</t>
        </is>
      </c>
      <c r="C13" s="8" t="inlineStr">
        <is>
          <t>Air</t>
        </is>
      </c>
      <c r="D13" s="8" t="inlineStr">
        <is>
          <t>Fastbrake</t>
        </is>
      </c>
      <c r="E13" s="11" t="n">
        <v>1</v>
      </c>
      <c r="F13" s="9" t="n">
        <v>5702.83</v>
      </c>
      <c r="G13" s="4" t="n">
        <v>8704.418215484318</v>
      </c>
      <c r="H13" s="9" t="n">
        <v>8704.418215484318</v>
      </c>
      <c r="I13" s="9" t="n">
        <v>10899.59706421778</v>
      </c>
      <c r="J13" s="9" t="n">
        <v>10899.59706421778</v>
      </c>
      <c r="K13" s="10" t="n">
        <v>44914.79799189908</v>
      </c>
      <c r="L13" s="10" t="n">
        <v>56241.92085136375</v>
      </c>
      <c r="O13" s="8" t="inlineStr">
        <is>
          <t>Imported BOM (USA)</t>
        </is>
      </c>
      <c r="P13" s="8" t="inlineStr">
        <is>
          <t>Direct supplier purchase; TP excluded; international freight 9%</t>
        </is>
      </c>
      <c r="W13" t="n">
        <v>7.938</v>
      </c>
      <c r="Z13" t="inlineStr">
        <is>
          <t>Engineering weight (Harland Updated Weights.xlsx)</t>
        </is>
      </c>
      <c r="AA13" t="inlineStr">
        <is>
          <t>High</t>
        </is>
      </c>
    </row>
    <row r="14" ht="35.25" customHeight="1" s="35">
      <c r="A14" s="8" t="inlineStr">
        <is>
          <t>17FM868B2</t>
        </is>
      </c>
      <c r="B14" s="8" t="inlineStr">
        <is>
          <t>SNIO</t>
        </is>
      </c>
      <c r="C14" s="8" t="inlineStr">
        <is>
          <t>Controls (MCA, train control, er etc)</t>
        </is>
      </c>
      <c r="D14" s="8" t="inlineStr">
        <is>
          <t>MCA</t>
        </is>
      </c>
      <c r="E14" s="11" t="n">
        <v>1</v>
      </c>
      <c r="F14" s="9" t="n">
        <v>4150.9559</v>
      </c>
      <c r="G14" s="4" t="n">
        <v>5405.922699158799</v>
      </c>
      <c r="H14" s="9" t="n">
        <v>5405.922699158799</v>
      </c>
      <c r="I14" s="9" t="n">
        <v>6769.249560679689</v>
      </c>
      <c r="J14" s="9" t="n">
        <v>6769.249560679689</v>
      </c>
      <c r="K14" s="10" t="n">
        <v>27894.56112765941</v>
      </c>
      <c r="L14" s="10" t="n">
        <v>34929.32773310719</v>
      </c>
      <c r="O14" s="8" t="inlineStr">
        <is>
          <t>Imported BOM (USA)</t>
        </is>
      </c>
      <c r="P14" s="8" t="inlineStr">
        <is>
          <t>Direct supplier purchase; TP excluded; international freight 9%</t>
        </is>
      </c>
      <c r="W14" t="n">
        <v>4.99</v>
      </c>
      <c r="Z14" t="inlineStr">
        <is>
          <t>Engineering weight (Harland Updated Weights.xlsx)</t>
        </is>
      </c>
      <c r="AA14" t="inlineStr">
        <is>
          <t>High</t>
        </is>
      </c>
    </row>
    <row r="15" ht="35.25" customHeight="1" s="35">
      <c r="A15" s="8" t="inlineStr">
        <is>
          <t>41A296352DNP55</t>
        </is>
      </c>
      <c r="B15" s="8" t="inlineStr">
        <is>
          <t>VOICE RADIO RITRON</t>
        </is>
      </c>
      <c r="C15" s="8" t="inlineStr">
        <is>
          <t>Connectivity</t>
        </is>
      </c>
      <c r="D15" s="8" t="inlineStr">
        <is>
          <t>VOICE RADIO</t>
        </is>
      </c>
      <c r="E15" s="11" t="n">
        <v>1</v>
      </c>
      <c r="F15" s="9" t="n">
        <v>3933</v>
      </c>
      <c r="G15" s="4" t="n">
        <v>5122.071756</v>
      </c>
      <c r="H15" s="9" t="n">
        <v>5122.071756</v>
      </c>
      <c r="I15" s="9" t="n">
        <v>6413.813869271225</v>
      </c>
      <c r="J15" s="9" t="n">
        <v>6413.813869271225</v>
      </c>
      <c r="K15" s="10" t="n">
        <v>26429.89026096</v>
      </c>
      <c r="L15" s="10" t="n">
        <v>33095.27956543952</v>
      </c>
      <c r="O15" s="8" t="inlineStr">
        <is>
          <t>Imported BOM (USA)</t>
        </is>
      </c>
      <c r="P15" s="8" t="inlineStr">
        <is>
          <t>TP included; international freight updated to 9%</t>
        </is>
      </c>
      <c r="W15" t="n">
        <v>7.575</v>
      </c>
      <c r="Z15" t="inlineStr">
        <is>
          <t>Engineering weight (Harland Updated Weights.xlsx)</t>
        </is>
      </c>
      <c r="AA15" t="inlineStr">
        <is>
          <t>High</t>
        </is>
      </c>
    </row>
    <row r="16" ht="35.25" customHeight="1" s="35">
      <c r="A16" s="8" t="inlineStr">
        <is>
          <t>32613P</t>
        </is>
      </c>
      <c r="B16" s="8" t="inlineStr">
        <is>
          <t>KIT ETMS AXLE INTERFACE FOR WPart Number 29266P</t>
        </is>
      </c>
      <c r="C16" s="8" t="inlineStr">
        <is>
          <t>PTC</t>
        </is>
      </c>
      <c r="D16" s="8" t="inlineStr">
        <is>
          <t>PTC</t>
        </is>
      </c>
      <c r="E16" s="11" t="n">
        <v>1</v>
      </c>
      <c r="F16" s="9" t="n">
        <v>2981.71</v>
      </c>
      <c r="G16" s="4" t="n">
        <v>4551.08267952784</v>
      </c>
      <c r="H16" s="9" t="n">
        <v>4551.08267952784</v>
      </c>
      <c r="I16" s="9" t="n">
        <v>5698.826295426798</v>
      </c>
      <c r="J16" s="9" t="n">
        <v>5698.826295426798</v>
      </c>
      <c r="K16" s="10" t="n">
        <v>23483.58662636366</v>
      </c>
      <c r="L16" s="10" t="n">
        <v>29405.94368440227</v>
      </c>
      <c r="O16" s="8" t="inlineStr">
        <is>
          <t>Imported BOM (USA)</t>
        </is>
      </c>
      <c r="P16" s="8" t="inlineStr">
        <is>
          <t>Direct supplier purchase; TP excluded; international freight 9%</t>
        </is>
      </c>
      <c r="W16" t="n">
        <v>4.536</v>
      </c>
      <c r="Z16" t="inlineStr">
        <is>
          <t>Engineering weight (Harland Updated Weights.xlsx)</t>
        </is>
      </c>
      <c r="AA16" t="inlineStr">
        <is>
          <t>High</t>
        </is>
      </c>
    </row>
    <row r="17" ht="35.25" customHeight="1" s="35">
      <c r="A17" s="8" t="inlineStr">
        <is>
          <t>17FH40X1</t>
        </is>
      </c>
      <c r="B17" s="8" t="inlineStr">
        <is>
          <t>LPS 17FH40 (COMMON LOGIC POWER SUPPLY) (5v, 15v, 19v, 24v)</t>
        </is>
      </c>
      <c r="C17" s="8" t="inlineStr">
        <is>
          <t>POWER</t>
        </is>
      </c>
      <c r="D17" s="8" t="inlineStr">
        <is>
          <t>POWER SUPPLY</t>
        </is>
      </c>
      <c r="E17" s="11" t="n">
        <v>1</v>
      </c>
      <c r="H17" s="9" t="n">
        <v>2915.027113794261</v>
      </c>
      <c r="I17" s="9" t="n">
        <v>3650.171692705061</v>
      </c>
      <c r="J17" s="9" t="n">
        <v>3650.171692705061</v>
      </c>
      <c r="K17" s="10" t="n">
        <v>15041.53990717839</v>
      </c>
      <c r="L17" s="10" t="n">
        <v>18834.88593435811</v>
      </c>
      <c r="M17" s="10" t="n">
        <v>15041.53990717839</v>
      </c>
      <c r="O17" s="8" t="inlineStr">
        <is>
          <t>PAC (Brazil BRL)</t>
        </is>
      </c>
      <c r="P17" s="8" t="inlineStr">
        <is>
          <t>Brazilian factory PAC price (local Brazilian cost)</t>
        </is>
      </c>
      <c r="W17" t="n">
        <v>18.144</v>
      </c>
      <c r="X17" t="inlineStr">
        <is>
          <t>85044029</t>
        </is>
      </c>
      <c r="Y17" t="inlineStr">
        <is>
          <t>24x10x20</t>
        </is>
      </c>
      <c r="Z17" t="inlineStr">
        <is>
          <t>Engineering weight (Harland Updated Weights.xlsx)</t>
        </is>
      </c>
      <c r="AA17" t="inlineStr">
        <is>
          <t>High</t>
        </is>
      </c>
    </row>
    <row r="18" ht="35.25" customHeight="1" s="35">
      <c r="A18" s="8" t="inlineStr">
        <is>
          <t>41D758679BJG16 	84D704379AFG1</t>
        </is>
      </c>
      <c r="B18" s="8" t="inlineStr">
        <is>
          <t>EC Part NumberL ASM</t>
        </is>
      </c>
      <c r="C18" s="8" t="inlineStr">
        <is>
          <t>Power</t>
        </is>
      </c>
      <c r="D18" s="8" t="inlineStr">
        <is>
          <t>Circuit Breaker</t>
        </is>
      </c>
      <c r="E18" s="11" t="n">
        <v>1</v>
      </c>
      <c r="F18" s="9" t="n">
        <v>1572.36</v>
      </c>
      <c r="H18" s="9" t="n">
        <v>2532.0521901984</v>
      </c>
      <c r="I18" s="9" t="n">
        <v>3170.613811918858</v>
      </c>
      <c r="J18" s="9" t="n">
        <v>3170.613811918858</v>
      </c>
      <c r="K18" s="10" t="n">
        <v>13065.38930142374</v>
      </c>
      <c r="L18" s="10" t="n">
        <v>16360.36726950131</v>
      </c>
      <c r="O18" s="8" t="inlineStr">
        <is>
          <t>GET</t>
        </is>
      </c>
      <c r="P18" s="8" t="inlineStr">
        <is>
          <t>Made by GET; retained for GET impact analysis</t>
        </is>
      </c>
      <c r="W18" t="n">
        <v>4.99</v>
      </c>
      <c r="X18" t="inlineStr">
        <is>
          <t>86079100</t>
        </is>
      </c>
      <c r="Y18" t="inlineStr">
        <is>
          <t>20x3.5x25.5</t>
        </is>
      </c>
      <c r="Z18" t="inlineStr">
        <is>
          <t>Exact PN match in item catalog (84D704379AFG1)</t>
        </is>
      </c>
      <c r="AA18" t="inlineStr">
        <is>
          <t>High</t>
        </is>
      </c>
    </row>
    <row r="19" ht="35.25" customHeight="1" s="35">
      <c r="A19" s="8" t="inlineStr">
        <is>
          <t>41B546155P2</t>
        </is>
      </c>
      <c r="B19" s="8" t="inlineStr">
        <is>
          <t>Horn</t>
        </is>
      </c>
      <c r="C19" s="8" t="inlineStr">
        <is>
          <t>Controls (MCA, train control, er etc)</t>
        </is>
      </c>
      <c r="D19" s="8" t="inlineStr">
        <is>
          <t>TRAIN CONTROL</t>
        </is>
      </c>
      <c r="E19" s="11" t="n">
        <v>1</v>
      </c>
      <c r="F19" s="9" t="n">
        <v>1891.99</v>
      </c>
      <c r="G19" s="4" t="n">
        <v>2463.99912068</v>
      </c>
      <c r="H19" s="9" t="n">
        <v>2463.99912068</v>
      </c>
      <c r="I19" s="9" t="n">
        <v>3085.398347958928</v>
      </c>
      <c r="J19" s="9" t="n">
        <v>3085.398347958928</v>
      </c>
      <c r="K19" s="10" t="n">
        <v>12714.2354627088</v>
      </c>
      <c r="L19" s="10" t="n">
        <v>15920.65547546807</v>
      </c>
      <c r="O19" s="8" t="inlineStr">
        <is>
          <t>Imported BOM (USA)</t>
        </is>
      </c>
      <c r="P19" s="8" t="inlineStr">
        <is>
          <t>Brazilian factory PAC price (local Brazilian cost)</t>
        </is>
      </c>
      <c r="W19" t="n">
        <v>4.536</v>
      </c>
      <c r="Z19" t="inlineStr">
        <is>
          <t>Engineering weight (Harland Updated Weights.xlsx)</t>
        </is>
      </c>
      <c r="AA19" t="inlineStr">
        <is>
          <t>High</t>
        </is>
      </c>
    </row>
    <row r="20" ht="35.25" customHeight="1" s="35">
      <c r="B20" s="8" t="inlineStr">
        <is>
          <t>Ditchlight Control Box (SMART BOX-V3-DLC )</t>
        </is>
      </c>
      <c r="C20" s="8" t="inlineStr">
        <is>
          <t>Controls (MCA, train control, er etc)</t>
        </is>
      </c>
      <c r="D20" s="8" t="inlineStr">
        <is>
          <t>TRAIN CONTROL</t>
        </is>
      </c>
      <c r="E20" s="11" t="n">
        <v>2</v>
      </c>
      <c r="F20" s="4" t="n">
        <v>800</v>
      </c>
      <c r="G20" s="4" t="n">
        <v>1221.0664832</v>
      </c>
      <c r="H20" s="4" t="n">
        <v>2442.1329664</v>
      </c>
      <c r="I20" s="4" t="n">
        <v>1529.008869521663</v>
      </c>
      <c r="J20" s="4" t="n">
        <v>3058.017739043326</v>
      </c>
      <c r="K20" s="3" t="n">
        <v>12601.406106624</v>
      </c>
      <c r="L20" s="3" t="n">
        <v>15779.37153346357</v>
      </c>
      <c r="O20" s="8" t="inlineStr">
        <is>
          <t>Imported BOM (USA)</t>
        </is>
      </c>
      <c r="P20" s="8" t="inlineStr">
        <is>
          <t>Brazilian factory PAC price (local Brazilian cost)</t>
        </is>
      </c>
      <c r="W20" t="n">
        <v>2.268</v>
      </c>
      <c r="Z20" t="inlineStr">
        <is>
          <t>Engineering weight (Harland Updated Weights.xlsx)</t>
        </is>
      </c>
      <c r="AA20" t="inlineStr">
        <is>
          <t>High</t>
        </is>
      </c>
    </row>
    <row r="21" ht="35.25" customHeight="1" s="35">
      <c r="B21" s="8" t="inlineStr">
        <is>
          <t>LED Ditch Light</t>
        </is>
      </c>
      <c r="C21" s="8" t="inlineStr">
        <is>
          <t>Controls (MCA, train control, er etc)</t>
        </is>
      </c>
      <c r="D21" s="8" t="inlineStr">
        <is>
          <t>TRAIN CONTROL</t>
        </is>
      </c>
      <c r="E21" s="11" t="n">
        <v>4</v>
      </c>
      <c r="F21" s="4" t="n">
        <v>375</v>
      </c>
      <c r="G21" s="4" t="n">
        <v>572.374914</v>
      </c>
      <c r="H21" s="4" t="n">
        <v>2289.499656</v>
      </c>
      <c r="I21" s="4" t="n">
        <v>716.7229075882797</v>
      </c>
      <c r="J21" s="4" t="n">
        <v>2866.891630353119</v>
      </c>
      <c r="K21" s="3" t="n">
        <v>11813.81822496</v>
      </c>
      <c r="L21" s="3" t="n">
        <v>14793.16081262209</v>
      </c>
      <c r="O21" s="8" t="inlineStr">
        <is>
          <t>Imported BOM (USA)</t>
        </is>
      </c>
      <c r="P21" s="8" t="inlineStr">
        <is>
          <t>TP included; international freight updated to 9%</t>
        </is>
      </c>
      <c r="W21" t="n">
        <v>0.907</v>
      </c>
      <c r="Z21" t="inlineStr">
        <is>
          <t>Engineering weight (Harland Updated Weights.xlsx)</t>
        </is>
      </c>
      <c r="AA21" t="inlineStr">
        <is>
          <t>High</t>
        </is>
      </c>
    </row>
    <row r="22" ht="35.25" customHeight="1" s="35">
      <c r="A22" s="8" t="inlineStr">
        <is>
          <t>17FM839B1</t>
        </is>
      </c>
      <c r="B22" s="8" t="inlineStr">
        <is>
          <t>PANEL ASM CFD - Thin Client Display</t>
        </is>
      </c>
      <c r="C22" s="8" t="inlineStr">
        <is>
          <t>Controls (MCA, train control, er etc)</t>
        </is>
      </c>
      <c r="D22" s="8" t="inlineStr">
        <is>
          <t>MCA</t>
        </is>
      </c>
      <c r="E22" s="11" t="n">
        <v>1</v>
      </c>
      <c r="H22" s="9" t="n">
        <v>2248.782356237519</v>
      </c>
      <c r="I22" s="9" t="n">
        <v>2815.905780412621</v>
      </c>
      <c r="J22" s="9" t="n">
        <v>2815.905780412621</v>
      </c>
      <c r="K22" s="10" t="n">
        <v>11603.7169581856</v>
      </c>
      <c r="L22" s="10" t="n">
        <v>14530.07382692913</v>
      </c>
      <c r="M22" s="10" t="n">
        <v>11603.7169581856</v>
      </c>
      <c r="O22" s="8" t="inlineStr">
        <is>
          <t>PAC (Brazil BRL)</t>
        </is>
      </c>
      <c r="P22" s="8" t="inlineStr">
        <is>
          <t>Made by GET; retained for GET impact analysis</t>
        </is>
      </c>
      <c r="W22" t="n">
        <v>9.298999999999999</v>
      </c>
      <c r="X22" t="inlineStr">
        <is>
          <t>85312000</t>
        </is>
      </c>
      <c r="Y22" t="inlineStr">
        <is>
          <t>18.5x8.5x15</t>
        </is>
      </c>
      <c r="Z22" t="inlineStr">
        <is>
          <t>Exact PN match in item catalog (17FM839B1)</t>
        </is>
      </c>
      <c r="AA22" t="inlineStr">
        <is>
          <t>High</t>
        </is>
      </c>
    </row>
    <row r="23" ht="35.25" customHeight="1" s="35">
      <c r="A23" s="8" t="inlineStr">
        <is>
          <t>17FM839A3</t>
        </is>
      </c>
      <c r="B23" s="8" t="inlineStr">
        <is>
          <t>TCD (Thin Client Display)</t>
        </is>
      </c>
      <c r="C23" s="8" t="inlineStr">
        <is>
          <t>SKID Assembly</t>
        </is>
      </c>
      <c r="D23" s="8" t="inlineStr">
        <is>
          <t>SKID (Skid)</t>
        </is>
      </c>
      <c r="E23" s="11" t="n">
        <v>1</v>
      </c>
      <c r="H23" s="4" t="n">
        <v>2248.782356237519</v>
      </c>
      <c r="I23" s="4" t="n">
        <v>2815.905780412622</v>
      </c>
      <c r="J23" s="4" t="n">
        <v>2815.905780412622</v>
      </c>
      <c r="K23" s="3" t="n">
        <v>11603.7169581856</v>
      </c>
      <c r="L23" s="3" t="n">
        <v>14530.07382692913</v>
      </c>
      <c r="M23" s="3" t="n">
        <v>11603.7169581856</v>
      </c>
      <c r="O23" s="8" t="inlineStr">
        <is>
          <t>PAC (Brazil BRL)</t>
        </is>
      </c>
      <c r="P23" s="8" t="inlineStr">
        <is>
          <t>Direct supplier purchase; TP excluded; international freight 9%</t>
        </is>
      </c>
      <c r="W23" t="n">
        <v>9.298999999999999</v>
      </c>
      <c r="X23" t="inlineStr">
        <is>
          <t>85312000</t>
        </is>
      </c>
      <c r="Y23" t="inlineStr">
        <is>
          <t>18.5x8.5x15</t>
        </is>
      </c>
      <c r="Z23" t="inlineStr">
        <is>
          <t>ESTIMATE (medium confidence) - Same physical item as 17FM839B1 (already priced as such)</t>
        </is>
      </c>
      <c r="AA23" t="inlineStr">
        <is>
          <t>High</t>
        </is>
      </c>
    </row>
    <row r="24" ht="35.25" customHeight="1" s="35">
      <c r="A24" s="8" t="inlineStr">
        <is>
          <t>84A201003DAP1</t>
        </is>
      </c>
      <c r="B24" s="8" t="inlineStr">
        <is>
          <t>ELECTRIC Bell</t>
        </is>
      </c>
      <c r="C24" s="8" t="inlineStr">
        <is>
          <t>Controls (MCA, train control, er etc)</t>
        </is>
      </c>
      <c r="D24" s="8" t="inlineStr">
        <is>
          <t>TRAIN CONTROL</t>
        </is>
      </c>
      <c r="E24" s="11" t="n">
        <v>1</v>
      </c>
      <c r="H24" s="9" t="n">
        <v>1839.42966718041</v>
      </c>
      <c r="I24" s="9" t="n">
        <v>2303.317890283509</v>
      </c>
      <c r="J24" s="9" t="n">
        <v>2303.317890283509</v>
      </c>
      <c r="K24" s="10" t="n">
        <v>9491.457082650917</v>
      </c>
      <c r="L24" s="10" t="n">
        <v>11885.12031386291</v>
      </c>
      <c r="M24" s="10" t="n">
        <v>9491.457082650917</v>
      </c>
      <c r="O24" s="8" t="inlineStr">
        <is>
          <t>PAC (Brazil BRL)</t>
        </is>
      </c>
      <c r="P24" s="8" t="inlineStr">
        <is>
          <t>TP included; international freight updated to 9%</t>
        </is>
      </c>
      <c r="W24" t="n">
        <v>8.119</v>
      </c>
      <c r="X24" t="inlineStr">
        <is>
          <t>85318000</t>
        </is>
      </c>
      <c r="Y24" t="inlineStr">
        <is>
          <t>14.25x14.25x10</t>
        </is>
      </c>
      <c r="Z24" t="inlineStr">
        <is>
          <t>Exact PN match in item catalog (84A201003DAP1)</t>
        </is>
      </c>
      <c r="AA24" t="inlineStr">
        <is>
          <t>High</t>
        </is>
      </c>
    </row>
    <row r="25" ht="35.25" customHeight="1" s="35">
      <c r="A25" t="inlineStr">
        <is>
          <t>17FB193E2F</t>
        </is>
      </c>
      <c r="B25" t="inlineStr">
        <is>
          <t>GET Card</t>
        </is>
      </c>
      <c r="C25" t="inlineStr">
        <is>
          <t>GET</t>
        </is>
      </c>
      <c r="D25" t="inlineStr">
        <is>
          <t>GET Card</t>
        </is>
      </c>
      <c r="E25" s="12" t="n">
        <v>1</v>
      </c>
      <c r="H25" s="4" t="n">
        <v>1792.85346851224</v>
      </c>
      <c r="I25" s="4" t="n">
        <v>2244.995577901629</v>
      </c>
      <c r="J25" s="4" t="n">
        <v>2244.995577901629</v>
      </c>
      <c r="K25" s="3" t="n">
        <v>9251.123897523161</v>
      </c>
      <c r="L25" s="3" t="n">
        <v>11584.17718197241</v>
      </c>
      <c r="M25" s="3" t="n">
        <v>9251.123897523161</v>
      </c>
      <c r="O25" t="inlineStr">
        <is>
          <t>PAC (Brazil BRL)</t>
        </is>
      </c>
      <c r="P25" s="8" t="inlineStr">
        <is>
          <t>Made by GET; retained for GET impact analysis</t>
        </is>
      </c>
      <c r="W25" t="n">
        <v>1.114</v>
      </c>
      <c r="X25" t="inlineStr">
        <is>
          <t>85049040</t>
        </is>
      </c>
      <c r="Y25" t="inlineStr">
        <is>
          <t>17.2x1.95x11.2</t>
        </is>
      </c>
      <c r="Z25" t="inlineStr">
        <is>
          <t>Exact PN match in item catalog (17FB193E2F)</t>
        </is>
      </c>
      <c r="AA25" t="inlineStr">
        <is>
          <t>High</t>
        </is>
      </c>
    </row>
    <row r="26" ht="35.25" customHeight="1" s="35">
      <c r="A26" s="8" t="inlineStr">
        <is>
          <t>84A215295P3</t>
        </is>
      </c>
      <c r="B26" s="8" t="inlineStr">
        <is>
          <t>POU-to-Handle cable 18' length</t>
        </is>
      </c>
      <c r="C26" s="8" t="inlineStr">
        <is>
          <t>Air</t>
        </is>
      </c>
      <c r="D26" s="8" t="inlineStr">
        <is>
          <t>Fastbrake</t>
        </is>
      </c>
      <c r="E26" s="11" t="n">
        <v>1</v>
      </c>
      <c r="F26" s="9" t="n">
        <v>1036.89</v>
      </c>
      <c r="G26" s="4" t="n">
        <v>1582.63953220656</v>
      </c>
      <c r="H26" s="9" t="n">
        <v>1582.63953220656</v>
      </c>
      <c r="I26" s="9" t="n">
        <v>1981.767508397896</v>
      </c>
      <c r="J26" s="9" t="n">
        <v>1981.767508397896</v>
      </c>
      <c r="K26" s="10" t="n">
        <v>8166.41998618585</v>
      </c>
      <c r="L26" s="10" t="n">
        <v>10225.92034333315</v>
      </c>
      <c r="O26" s="8" t="inlineStr">
        <is>
          <t>Imported BOM (USA)</t>
        </is>
      </c>
      <c r="P26" s="8" t="inlineStr">
        <is>
          <t>TP included; international freight updated to 9%</t>
        </is>
      </c>
      <c r="R26" t="inlineStr">
        <is>
          <t>Wire/Cable</t>
        </is>
      </c>
      <c r="S26" t="inlineStr">
        <is>
          <t>Low confidence - PAC family match, different length</t>
        </is>
      </c>
      <c r="T26" s="3" t="n">
        <v>10225.92034333315</v>
      </c>
      <c r="U26" s="3" t="n">
        <v>8409.474282292764</v>
      </c>
      <c r="V26" t="inlineStr">
        <is>
          <t>PAC/National is cheaper (by R$ 1,816.45)</t>
        </is>
      </c>
      <c r="W26" t="n">
        <v>1.247</v>
      </c>
      <c r="Z26" t="inlineStr">
        <is>
          <t>ESTIMATE (medium confidence) - Estimate from same-PN-family 84A215295P37 (Handle Junction Box)</t>
        </is>
      </c>
      <c r="AA26" t="inlineStr">
        <is>
          <t>Medium</t>
        </is>
      </c>
    </row>
    <row r="27" ht="35.25" customHeight="1" s="35">
      <c r="A27" s="8" t="inlineStr">
        <is>
          <t>41B566322ACG1</t>
        </is>
      </c>
      <c r="B27" s="8" t="inlineStr">
        <is>
          <t>TRAINLINE RESISTOR PANEL</t>
        </is>
      </c>
      <c r="C27" s="8" t="inlineStr">
        <is>
          <t>SKID Assembly</t>
        </is>
      </c>
      <c r="D27" s="8" t="inlineStr">
        <is>
          <t>Controls (MCA, train control, er etc)</t>
        </is>
      </c>
      <c r="E27" s="11" t="n">
        <v>1</v>
      </c>
      <c r="H27" s="9" t="n">
        <v>1306.741732678276</v>
      </c>
      <c r="I27" s="9" t="n">
        <v>1636.29067452827</v>
      </c>
      <c r="J27" s="9" t="n">
        <v>1636.29067452827</v>
      </c>
      <c r="K27" s="10" t="n">
        <v>6742.787340619905</v>
      </c>
      <c r="L27" s="10" t="n">
        <v>8443.259880565873</v>
      </c>
      <c r="M27" s="10" t="n">
        <v>6742.787340619905</v>
      </c>
      <c r="O27" s="8" t="inlineStr">
        <is>
          <t>GET</t>
        </is>
      </c>
      <c r="P27" s="8" t="inlineStr">
        <is>
          <t>TP included; international freight updated to 9%</t>
        </is>
      </c>
      <c r="W27" t="n">
        <v>2.859</v>
      </c>
      <c r="X27" t="inlineStr">
        <is>
          <t>85333990</t>
        </is>
      </c>
      <c r="Y27" t="inlineStr">
        <is>
          <t>14x6x8.5</t>
        </is>
      </c>
      <c r="Z27" t="inlineStr">
        <is>
          <t>Exact PN match in item catalog (41B566322ACG1)</t>
        </is>
      </c>
      <c r="AA27" t="inlineStr">
        <is>
          <t>High</t>
        </is>
      </c>
    </row>
    <row r="28" ht="35.25" customHeight="1" s="35">
      <c r="A28" s="8" t="inlineStr">
        <is>
          <t>41A296304DDP4</t>
        </is>
      </c>
      <c r="B28" s="8" t="inlineStr">
        <is>
          <t>G-RECTIFIER POWER BLOCK</t>
        </is>
      </c>
      <c r="C28" s="8" t="inlineStr">
        <is>
          <t>SKID Assembly</t>
        </is>
      </c>
      <c r="D28" s="8" t="inlineStr">
        <is>
          <t>Controls (MCA, train control, er etc)</t>
        </is>
      </c>
      <c r="E28" s="11" t="n">
        <v>20</v>
      </c>
      <c r="H28" s="9" t="n">
        <v>1264.43025398997</v>
      </c>
      <c r="I28" s="9" t="n">
        <v>79.1654303775338</v>
      </c>
      <c r="J28" s="9" t="n">
        <v>1583.308607550676</v>
      </c>
      <c r="K28" s="10" t="n">
        <v>6524.460110588245</v>
      </c>
      <c r="L28" s="10" t="n">
        <v>8169.872414961488</v>
      </c>
      <c r="M28" s="10" t="n">
        <v>326.2230055294123</v>
      </c>
      <c r="O28" s="8" t="inlineStr">
        <is>
          <t>PAC (Brazil BRL)</t>
        </is>
      </c>
      <c r="P28" s="8" t="inlineStr">
        <is>
          <t>Brazilian factory PAC price (local Brazilian cost)</t>
        </is>
      </c>
      <c r="W28" t="n">
        <v>0.054</v>
      </c>
      <c r="X28" t="inlineStr">
        <is>
          <t>85411099</t>
        </is>
      </c>
      <c r="Y28" t="inlineStr">
        <is>
          <t>10.85x1.1x8.5</t>
        </is>
      </c>
      <c r="Z28" t="inlineStr">
        <is>
          <t>Exact PN match in item catalog (41A296304DDP4) - FLAGGED: Exact PN match, but 0.054 kg is implausibly light for a 'Rectifier Power Block' - catalog weight likely covers only a sub-component. Do not use for freight without verification.</t>
        </is>
      </c>
      <c r="AA28" t="inlineStr">
        <is>
          <t>Low</t>
        </is>
      </c>
    </row>
    <row r="29" ht="35.25" customHeight="1" s="35">
      <c r="A29" s="8" t="inlineStr">
        <is>
          <t>RCCR-RMTCBL-RA-CUSTOM</t>
        </is>
      </c>
      <c r="B29" s="8" t="inlineStr">
        <is>
          <t>VOICE RADIO RITRON CABLE,REMOTE,RR-225/XXX, RCCR,RIGHT
ANGLE,19-PIN,FLAME RETARDANT</t>
        </is>
      </c>
      <c r="C29" s="8" t="inlineStr">
        <is>
          <t>Connectivity</t>
        </is>
      </c>
      <c r="D29" s="8" t="inlineStr">
        <is>
          <t>VOICE RADIO</t>
        </is>
      </c>
      <c r="E29" s="11" t="n">
        <v>1</v>
      </c>
      <c r="F29" s="9" t="n">
        <v>761</v>
      </c>
      <c r="G29" s="4" t="n">
        <v>991.074652</v>
      </c>
      <c r="H29" s="9" t="n">
        <v>991.074652</v>
      </c>
      <c r="I29" s="9" t="n">
        <v>1241.015091409967</v>
      </c>
      <c r="J29" s="9" t="n">
        <v>1241.015091409967</v>
      </c>
      <c r="K29" s="10" t="n">
        <v>5113.94520432</v>
      </c>
      <c r="L29" s="10" t="n">
        <v>6403.637871675433</v>
      </c>
      <c r="O29" s="8" t="inlineStr">
        <is>
          <t>Imported BOM (USA)</t>
        </is>
      </c>
      <c r="P29" s="8" t="inlineStr">
        <is>
          <t>Brazilian factory PAC price (local Brazilian cost)</t>
        </is>
      </c>
      <c r="R29" t="inlineStr">
        <is>
          <t>Wire/Cable</t>
        </is>
      </c>
      <c r="S29" t="inlineStr">
        <is>
          <t>Low confidence - no comparable PAC item found</t>
        </is>
      </c>
      <c r="T29" s="3" t="n">
        <v>6403.637871675433</v>
      </c>
      <c r="U29" s="3" t="n">
        <v>3569.042073628852</v>
      </c>
      <c r="V29" t="inlineStr">
        <is>
          <t>PAC/National is cheaper (by R$ 2,834.60)</t>
        </is>
      </c>
    </row>
    <row r="30" ht="35.25" customHeight="1" s="35">
      <c r="A30" s="8" t="inlineStr">
        <is>
          <t>41C663693G1</t>
        </is>
      </c>
      <c r="B30" s="8" t="inlineStr">
        <is>
          <t>PANEL CPF</t>
        </is>
      </c>
      <c r="C30" s="8" t="inlineStr">
        <is>
          <t>Power</t>
        </is>
      </c>
      <c r="D30" s="8" t="inlineStr">
        <is>
          <t>POWER</t>
        </is>
      </c>
      <c r="E30" s="11" t="n">
        <v>1</v>
      </c>
      <c r="H30" s="9" t="n">
        <v>924.6103348283108</v>
      </c>
      <c r="I30" s="9" t="n">
        <v>1157.789049371789</v>
      </c>
      <c r="J30" s="9" t="n">
        <v>1157.789049371789</v>
      </c>
      <c r="K30" s="10" t="n">
        <v>4770.989327714084</v>
      </c>
      <c r="L30" s="10" t="n">
        <v>5974.191494758432</v>
      </c>
      <c r="M30" s="10" t="n">
        <v>4770.989327714084</v>
      </c>
      <c r="O30" s="8" t="inlineStr">
        <is>
          <t>GET</t>
        </is>
      </c>
      <c r="P30" s="8" t="inlineStr">
        <is>
          <t>Brazilian factory PAC price (local Brazilian cost)</t>
        </is>
      </c>
      <c r="W30" t="n">
        <v>5.761</v>
      </c>
      <c r="X30" t="inlineStr">
        <is>
          <t>85371090</t>
        </is>
      </c>
      <c r="Y30" t="inlineStr">
        <is>
          <t>20.5x10.5x11.5</t>
        </is>
      </c>
      <c r="Z30" t="inlineStr">
        <is>
          <t>Exact PN match in item catalog (41C663693G1)</t>
        </is>
      </c>
      <c r="AA30" t="inlineStr">
        <is>
          <t>High</t>
        </is>
      </c>
    </row>
    <row r="31" ht="35.25" customHeight="1" s="35">
      <c r="A31" s="8" t="inlineStr">
        <is>
          <t>41A296352PTP306/41A296352PTP122</t>
        </is>
      </c>
      <c r="B31" s="8" t="inlineStr">
        <is>
          <t>Assembled Air Manifold (Contains 3 pressure sensors mounted in appropriate locations on Air Manifold.)</t>
        </is>
      </c>
      <c r="C31" s="8" t="inlineStr">
        <is>
          <t>PTC</t>
        </is>
      </c>
      <c r="D31" s="8" t="inlineStr">
        <is>
          <t>PTC</t>
        </is>
      </c>
      <c r="E31" s="11" t="n">
        <v>1</v>
      </c>
      <c r="F31" s="9" t="n">
        <v>595.7889</v>
      </c>
      <c r="G31" s="4" t="n">
        <v>909.3723210657455</v>
      </c>
      <c r="H31" s="9" t="n">
        <v>909.3723210657455</v>
      </c>
      <c r="I31" s="9" t="n">
        <v>1138.708140578194</v>
      </c>
      <c r="J31" s="9" t="n">
        <v>1138.708140578194</v>
      </c>
      <c r="K31" s="10" t="n">
        <v>4692.361176699247</v>
      </c>
      <c r="L31" s="10" t="n">
        <v>5875.73400538348</v>
      </c>
      <c r="O31" s="8" t="inlineStr">
        <is>
          <t>Imported BOM (USA)</t>
        </is>
      </c>
      <c r="P31" s="8" t="inlineStr">
        <is>
          <t>Brazilian factory PAC price (local Brazilian cost)</t>
        </is>
      </c>
      <c r="W31" t="n">
        <v>5.897</v>
      </c>
      <c r="X31" t="inlineStr">
        <is>
          <t>85381000</t>
        </is>
      </c>
      <c r="Z31" t="inlineStr">
        <is>
          <t>ESTIMATE (medium confidence) - Estimate from similar item 41C619972P3 (Air Brake Manifold)</t>
        </is>
      </c>
      <c r="AA31" t="inlineStr">
        <is>
          <t>Medium</t>
        </is>
      </c>
    </row>
    <row r="32" ht="35.25" customHeight="1" s="35">
      <c r="A32" s="8" t="inlineStr">
        <is>
          <t>84A232147P1</t>
        </is>
      </c>
      <c r="B32" s="8" t="inlineStr">
        <is>
          <t>KNOB HLD DWN with washer and screw</t>
        </is>
      </c>
      <c r="C32" s="8" t="inlineStr">
        <is>
          <t>Controls (MCA, train control, er etc)</t>
        </is>
      </c>
      <c r="D32" s="8" t="inlineStr">
        <is>
          <t>TRAIN CONTROL</t>
        </is>
      </c>
      <c r="E32" s="11" t="n">
        <v>30</v>
      </c>
      <c r="H32" s="9" t="n">
        <v>741.1382115962427</v>
      </c>
      <c r="I32" s="9" t="n">
        <v>30.93489488255458</v>
      </c>
      <c r="J32" s="9" t="n">
        <v>928.0468464766375</v>
      </c>
      <c r="K32" s="10" t="n">
        <v>3824.273171836612</v>
      </c>
      <c r="L32" s="10" t="n">
        <v>4788.721727819449</v>
      </c>
      <c r="M32" s="10" t="n">
        <v>127.4757723945537</v>
      </c>
      <c r="O32" s="8" t="inlineStr">
        <is>
          <t>PAC (Brazil BRL)</t>
        </is>
      </c>
      <c r="P32" s="8" t="inlineStr">
        <is>
          <t>Brazilian factory PAC price (local Brazilian cost)</t>
        </is>
      </c>
      <c r="W32" t="n">
        <v>0.045</v>
      </c>
      <c r="X32" t="inlineStr">
        <is>
          <t>83024900</t>
        </is>
      </c>
      <c r="Y32" t="inlineStr">
        <is>
          <t>3.5x0.75x0.75</t>
        </is>
      </c>
      <c r="Z32" t="inlineStr">
        <is>
          <t>Exact PN match in item catalog (84A232147P1)</t>
        </is>
      </c>
      <c r="AA32" t="inlineStr">
        <is>
          <t>High</t>
        </is>
      </c>
    </row>
    <row r="33" ht="35.25" customHeight="1" s="35">
      <c r="A33" s="8" t="inlineStr">
        <is>
          <t>32447P</t>
        </is>
      </c>
      <c r="B33" s="8" t="inlineStr">
        <is>
          <t>ASY CABLE WHEEL TACH AC EVO/SD70 ACE</t>
        </is>
      </c>
      <c r="C33" s="8" t="inlineStr">
        <is>
          <t>PTC</t>
        </is>
      </c>
      <c r="D33" s="8" t="inlineStr">
        <is>
          <t>PTC</t>
        </is>
      </c>
      <c r="E33" s="11" t="n">
        <v>1</v>
      </c>
      <c r="F33" s="9" t="n">
        <v>411.22</v>
      </c>
      <c r="G33" s="4" t="n">
        <v>627.6586990268801</v>
      </c>
      <c r="H33" s="9" t="n">
        <v>627.6586990268801</v>
      </c>
      <c r="I33" s="9" t="n">
        <v>785.9487841558729</v>
      </c>
      <c r="J33" s="9" t="n">
        <v>785.9487841558729</v>
      </c>
      <c r="K33" s="10" t="n">
        <v>3238.718886978701</v>
      </c>
      <c r="L33" s="10" t="n">
        <v>4055.495726244304</v>
      </c>
      <c r="O33" s="8" t="inlineStr">
        <is>
          <t>Imported BOM (USA)</t>
        </is>
      </c>
      <c r="P33" s="8" t="inlineStr">
        <is>
          <t>Calculated with TP (17.2%) + International Freight (15%) + Import Duty (16%) + Domestic Freight (3%) | Qtd=1.0</t>
        </is>
      </c>
      <c r="R33" t="inlineStr">
        <is>
          <t>Wire/Cable</t>
        </is>
      </c>
      <c r="S33" t="inlineStr">
        <is>
          <t>High confidence PAC match (exact desc, PN 29707P) - not yet applied</t>
        </is>
      </c>
      <c r="T33" s="3" t="n">
        <v>4055.495726244304</v>
      </c>
      <c r="U33" s="3" t="n">
        <v>373.698202623823</v>
      </c>
      <c r="V33" t="inlineStr">
        <is>
          <t>PAC/National is cheaper (by R$ 3,681.80)</t>
        </is>
      </c>
    </row>
    <row r="34" ht="35.25" customHeight="1" s="35">
      <c r="A34" s="8" t="inlineStr">
        <is>
          <t>41A296352PTP10/319/34</t>
        </is>
      </c>
      <c r="B34" s="8" t="inlineStr">
        <is>
          <t>VALVE Part NumberEUMATIC NC/CO (Penalty Magnet Valve) Graham-White 812-142</t>
        </is>
      </c>
      <c r="C34" s="8" t="inlineStr">
        <is>
          <t>PTC</t>
        </is>
      </c>
      <c r="D34" s="8" t="inlineStr">
        <is>
          <t>PTC</t>
        </is>
      </c>
      <c r="E34" s="11" t="n">
        <v>1</v>
      </c>
      <c r="F34" s="9" t="n">
        <v>404.6239</v>
      </c>
      <c r="G34" s="4" t="n">
        <v>617.5908532395855</v>
      </c>
      <c r="H34" s="9" t="n">
        <v>617.5908532395855</v>
      </c>
      <c r="I34" s="9" t="n">
        <v>773.3419149005579</v>
      </c>
      <c r="J34" s="9" t="n">
        <v>773.3419149005579</v>
      </c>
      <c r="K34" s="10" t="n">
        <v>3186.768802716261</v>
      </c>
      <c r="L34" s="10" t="n">
        <v>3990.444280886879</v>
      </c>
      <c r="O34" s="8" t="inlineStr">
        <is>
          <t>Imported BOM (USA)</t>
        </is>
      </c>
      <c r="P34" s="8" t="inlineStr">
        <is>
          <t>Brazilian factory PAC price (local Brazilian cost)</t>
        </is>
      </c>
    </row>
    <row r="35" ht="35.25" customHeight="1" s="35">
      <c r="A35" s="8" t="inlineStr">
        <is>
          <t>84A201176P1</t>
        </is>
      </c>
      <c r="B35" s="8" t="inlineStr">
        <is>
          <t>Pathfinder Control Unit Connector (MU Plug)</t>
        </is>
      </c>
      <c r="C35" s="8" t="inlineStr">
        <is>
          <t>Controls (MCA, train control, er etc)</t>
        </is>
      </c>
      <c r="D35" s="8" t="inlineStr">
        <is>
          <t>TRAIN CONTROL</t>
        </is>
      </c>
      <c r="E35" s="11" t="n">
        <v>2</v>
      </c>
      <c r="H35" s="9" t="n">
        <v>573.9781667944719</v>
      </c>
      <c r="I35" s="9" t="n">
        <v>359.3652434225343</v>
      </c>
      <c r="J35" s="9" t="n">
        <v>718.7304868450686</v>
      </c>
      <c r="K35" s="10" t="n">
        <v>2961.727340659475</v>
      </c>
      <c r="L35" s="10" t="n">
        <v>3708.649312120554</v>
      </c>
      <c r="M35" s="10" t="n">
        <v>1480.863670329737</v>
      </c>
      <c r="O35" s="8" t="inlineStr">
        <is>
          <t>PAC (Brazil BRL)</t>
        </is>
      </c>
      <c r="P35" s="8" t="inlineStr">
        <is>
          <t>Calculated with TP (17.2%) + International Freight (15%) + Import Duty (16%) + Domestic Freight (3%) | Qtd=1.0</t>
        </is>
      </c>
      <c r="R35" t="inlineStr">
        <is>
          <t>Connector/Plug</t>
        </is>
      </c>
      <c r="S35" t="inlineStr">
        <is>
          <t>Already nationalized (PAC)</t>
        </is>
      </c>
      <c r="T35" s="3" t="n">
        <v>4406.426976727093</v>
      </c>
      <c r="U35" s="3" t="n">
        <v>3708.649312120554</v>
      </c>
      <c r="V35" t="inlineStr">
        <is>
          <t>PAC/National is cheaper (by R$ 697.78)</t>
        </is>
      </c>
      <c r="W35" t="n">
        <v>2.404</v>
      </c>
      <c r="X35" t="inlineStr">
        <is>
          <t>85366990</t>
        </is>
      </c>
      <c r="Y35" t="inlineStr">
        <is>
          <t>7x4x7</t>
        </is>
      </c>
      <c r="Z35" t="inlineStr">
        <is>
          <t>Exact PN match in item catalog (84A201176P1)</t>
        </is>
      </c>
      <c r="AA35" t="inlineStr">
        <is>
          <t>High</t>
        </is>
      </c>
    </row>
    <row r="36" ht="35.25" customHeight="1" s="35">
      <c r="A36" s="8" t="inlineStr">
        <is>
          <t>84A201150ACP2</t>
        </is>
      </c>
      <c r="B36" s="8" t="inlineStr">
        <is>
          <t>CROSSING BELL PUSH BUTTON
SWITCH</t>
        </is>
      </c>
      <c r="C36" s="8" t="inlineStr">
        <is>
          <t>Controls (MCA, train control, er etc)</t>
        </is>
      </c>
      <c r="D36" s="8" t="inlineStr">
        <is>
          <t>TRAIN CONTROL</t>
        </is>
      </c>
      <c r="E36" s="11" t="n">
        <v>1</v>
      </c>
      <c r="H36" s="9" t="n">
        <v>551.0420287995571</v>
      </c>
      <c r="I36" s="9" t="n">
        <v>690.0100535932345</v>
      </c>
      <c r="J36" s="9" t="n">
        <v>690.0100535932345</v>
      </c>
      <c r="K36" s="10" t="n">
        <v>2843.376868605715</v>
      </c>
      <c r="L36" s="10" t="n">
        <v>3560.45187654109</v>
      </c>
      <c r="M36" s="10" t="n">
        <v>2843.376868605715</v>
      </c>
      <c r="O36" s="8" t="inlineStr">
        <is>
          <t>PAC (Brazil BRL)</t>
        </is>
      </c>
      <c r="P36" s="8" t="inlineStr">
        <is>
          <t>Calculated with TP (17.2%) + International Freight (15%) + Import Duty (16%) + Domestic Freight (3%) | Qtd=1.0</t>
        </is>
      </c>
      <c r="W36" t="n">
        <v>0.411</v>
      </c>
      <c r="X36" t="inlineStr">
        <is>
          <t>85365090</t>
        </is>
      </c>
      <c r="Y36" t="inlineStr">
        <is>
          <t>11.8x6.4x8.05</t>
        </is>
      </c>
      <c r="Z36" t="inlineStr">
        <is>
          <t>Exact PN match in item catalog (84A201150ACP2)</t>
        </is>
      </c>
      <c r="AA36" t="inlineStr">
        <is>
          <t>High</t>
        </is>
      </c>
    </row>
    <row r="37" ht="35.25" customHeight="1" s="35">
      <c r="A37" s="8" t="inlineStr">
        <is>
          <t>17FH37A6</t>
        </is>
      </c>
      <c r="B37" s="8" t="inlineStr">
        <is>
          <t>RPS Power Panel - Radio Power Supply - 15V</t>
        </is>
      </c>
      <c r="C37" s="8" t="inlineStr">
        <is>
          <t>Controls (MCA, train control, er etc)</t>
        </is>
      </c>
      <c r="D37" s="8" t="inlineStr">
        <is>
          <t>MCA</t>
        </is>
      </c>
      <c r="E37" s="11" t="n">
        <v>1</v>
      </c>
      <c r="H37" s="9" t="n">
        <v>491.2571070598377</v>
      </c>
      <c r="I37" s="9" t="n">
        <v>615.1478926369118</v>
      </c>
      <c r="J37" s="9" t="n">
        <v>615.1478926369118</v>
      </c>
      <c r="K37" s="10" t="n">
        <v>2534.886672428763</v>
      </c>
      <c r="L37" s="10" t="n">
        <v>3174.163126006465</v>
      </c>
      <c r="M37" s="10" t="n">
        <v>2534.886672428763</v>
      </c>
      <c r="O37" s="8" t="inlineStr">
        <is>
          <t>PAC (Brazil BRL)</t>
        </is>
      </c>
      <c r="P37" s="8" t="inlineStr">
        <is>
          <t>Brazilian factory PAC price (local Brazilian cost)</t>
        </is>
      </c>
      <c r="W37" t="n">
        <v>4.247</v>
      </c>
      <c r="X37" t="inlineStr">
        <is>
          <t>85044030</t>
        </is>
      </c>
      <c r="Y37" t="inlineStr">
        <is>
          <t>12.8x3.8x9.5</t>
        </is>
      </c>
      <c r="Z37" t="inlineStr">
        <is>
          <t>Exact PN match in item catalog (17FH37A6)</t>
        </is>
      </c>
      <c r="AA37" t="inlineStr">
        <is>
          <t>High</t>
        </is>
      </c>
    </row>
    <row r="38" ht="35.25" customHeight="1" s="35">
      <c r="A38" s="8" t="inlineStr">
        <is>
          <t>41A240644P2</t>
        </is>
      </c>
      <c r="B38" s="8" t="inlineStr">
        <is>
          <t>HORN MAGNET VALVE</t>
        </is>
      </c>
      <c r="C38" s="8" t="inlineStr">
        <is>
          <t>Controls (MCA, train control, er etc)</t>
        </is>
      </c>
      <c r="D38" s="8" t="inlineStr">
        <is>
          <t>TRAIN CONTROL</t>
        </is>
      </c>
      <c r="E38" s="11" t="n">
        <v>1</v>
      </c>
      <c r="H38" s="9" t="n">
        <v>461.7005326918485</v>
      </c>
      <c r="I38" s="9" t="n">
        <v>578.1374063258809</v>
      </c>
      <c r="J38" s="9" t="n">
        <v>578.1374063258809</v>
      </c>
      <c r="K38" s="10" t="n">
        <v>2382.374748689938</v>
      </c>
      <c r="L38" s="10" t="n">
        <v>2983.189016641546</v>
      </c>
      <c r="M38" s="10" t="n">
        <v>2382.374748689938</v>
      </c>
      <c r="O38" s="8" t="inlineStr">
        <is>
          <t>PAC (Brazil BRL)</t>
        </is>
      </c>
      <c r="P38" s="8" t="inlineStr">
        <is>
          <t>Brazilian factory PAC price (local Brazilian cost)</t>
        </is>
      </c>
      <c r="W38" t="n">
        <v>3.629</v>
      </c>
      <c r="X38" t="inlineStr">
        <is>
          <t>84812090</t>
        </is>
      </c>
      <c r="Y38" t="inlineStr">
        <is>
          <t>8.4x3.35x7.5</t>
        </is>
      </c>
      <c r="Z38" t="inlineStr">
        <is>
          <t>Exact PN match in item catalog (41A240644P2)</t>
        </is>
      </c>
      <c r="AA38" t="inlineStr">
        <is>
          <t>High</t>
        </is>
      </c>
    </row>
    <row r="39" ht="35.25" customHeight="1" s="35">
      <c r="A39" s="8" t="inlineStr">
        <is>
          <t>41A296352CMP387</t>
        </is>
      </c>
      <c r="B39" s="8" t="inlineStr">
        <is>
          <t>ETHERNET CABLE</t>
        </is>
      </c>
      <c r="C39" s="8" t="inlineStr">
        <is>
          <t>Controls (MCA, train control, er etc)</t>
        </is>
      </c>
      <c r="D39" s="8" t="inlineStr">
        <is>
          <t>MCA</t>
        </is>
      </c>
      <c r="E39" s="11" t="n">
        <v>1</v>
      </c>
      <c r="H39" s="9" t="n">
        <v>413.2256430310077</v>
      </c>
      <c r="I39" s="9" t="n">
        <v>517.4375695354468</v>
      </c>
      <c r="J39" s="9" t="n">
        <v>517.4375695354468</v>
      </c>
      <c r="K39" s="10" t="n">
        <v>2132.24431804</v>
      </c>
      <c r="L39" s="10" t="n">
        <v>2669.977858802905</v>
      </c>
      <c r="M39" s="10" t="n">
        <v>2132.24431804</v>
      </c>
      <c r="O39" s="8" t="inlineStr">
        <is>
          <t>PAC (Brazil BRL)</t>
        </is>
      </c>
      <c r="P39" s="8" t="inlineStr">
        <is>
          <t>Brazilian factory PAC price (local Brazilian cost)</t>
        </is>
      </c>
      <c r="R39" t="inlineStr">
        <is>
          <t>Wire/Cable</t>
        </is>
      </c>
      <c r="S39" t="inlineStr">
        <is>
          <t>Already nationalized (PAC)</t>
        </is>
      </c>
      <c r="T39" s="3" t="n">
        <v>2660.402040541957</v>
      </c>
      <c r="U39" s="3" t="n">
        <v>2669.977858802905</v>
      </c>
      <c r="V39" t="inlineStr">
        <is>
          <t>Import is cheaper (by R$ 9.58)</t>
        </is>
      </c>
      <c r="W39" t="n">
        <v>0.227</v>
      </c>
      <c r="X39" t="inlineStr">
        <is>
          <t>85444200</t>
        </is>
      </c>
      <c r="Y39" t="inlineStr">
        <is>
          <t>0x0x0</t>
        </is>
      </c>
      <c r="Z39" t="inlineStr">
        <is>
          <t>Exact PN match in item catalog (41A296352CMP387)</t>
        </is>
      </c>
      <c r="AA39" t="inlineStr">
        <is>
          <t>High</t>
        </is>
      </c>
    </row>
    <row r="40" ht="35.25" customHeight="1" s="35">
      <c r="A40" s="8" t="inlineStr">
        <is>
          <t>41B511393P2</t>
        </is>
      </c>
      <c r="B40" s="8" t="inlineStr">
        <is>
          <t>Battery Knife Switch</t>
        </is>
      </c>
      <c r="C40" s="8" t="inlineStr">
        <is>
          <t>Power</t>
        </is>
      </c>
      <c r="D40" s="8" t="inlineStr">
        <is>
          <t>POWER</t>
        </is>
      </c>
      <c r="E40" s="11" t="n">
        <v>1</v>
      </c>
      <c r="H40" s="9" t="n">
        <v>347.8299259769659</v>
      </c>
      <c r="I40" s="9" t="n">
        <v>435.5496193049911</v>
      </c>
      <c r="J40" s="9" t="n">
        <v>435.5496193049911</v>
      </c>
      <c r="K40" s="10" t="n">
        <v>1794.802418041144</v>
      </c>
      <c r="L40" s="10" t="n">
        <v>2247.436035613754</v>
      </c>
      <c r="M40" s="10" t="n">
        <v>1794.802418041144</v>
      </c>
      <c r="O40" s="8" t="inlineStr">
        <is>
          <t>PAC (Brazil BRL)</t>
        </is>
      </c>
      <c r="P40" s="8" t="inlineStr">
        <is>
          <t>Brazilian factory PAC price (local Brazilian cost)</t>
        </is>
      </c>
      <c r="W40" t="n">
        <v>4.445</v>
      </c>
      <c r="X40" t="inlineStr">
        <is>
          <t>85365090</t>
        </is>
      </c>
      <c r="Y40" t="inlineStr">
        <is>
          <t>13.5x5.25x7</t>
        </is>
      </c>
      <c r="Z40" t="inlineStr">
        <is>
          <t>Exact PN match in item catalog (41B511393P2)</t>
        </is>
      </c>
      <c r="AA40" t="inlineStr">
        <is>
          <t>High</t>
        </is>
      </c>
    </row>
    <row r="41" ht="35.25" customHeight="1" s="35">
      <c r="A41" s="8" t="inlineStr">
        <is>
          <t>84A231123CSP30</t>
        </is>
      </c>
      <c r="B41" s="8" t="inlineStr">
        <is>
          <t>Axle Tac - WRE Part Number: 29266P</t>
        </is>
      </c>
      <c r="C41" s="8" t="inlineStr">
        <is>
          <t>PTC</t>
        </is>
      </c>
      <c r="D41" s="8" t="inlineStr">
        <is>
          <t>PTC</t>
        </is>
      </c>
      <c r="E41" s="11" t="n">
        <v>1</v>
      </c>
      <c r="F41" s="9" t="n">
        <v>205</v>
      </c>
      <c r="H41" s="9" t="n">
        <v>330.1220451999999</v>
      </c>
      <c r="I41" s="9" t="n">
        <v>413.3759644377661</v>
      </c>
      <c r="J41" s="9" t="n">
        <v>413.3759644377661</v>
      </c>
      <c r="K41" s="10" t="n">
        <v>1703.429753232</v>
      </c>
      <c r="L41" s="10" t="n">
        <v>2133.019976498873</v>
      </c>
      <c r="O41" s="8" t="inlineStr">
        <is>
          <t>Imported BOM (USA)</t>
        </is>
      </c>
      <c r="P41" s="8" t="inlineStr">
        <is>
          <t>Brazilian factory PAC price (local Brazilian cost)</t>
        </is>
      </c>
    </row>
    <row r="42" ht="35.25" customHeight="1" s="35">
      <c r="A42" s="8" t="inlineStr">
        <is>
          <t>84A207079ABP1</t>
        </is>
      </c>
      <c r="B42" s="8" t="inlineStr">
        <is>
          <t>41A313392DCP18 alternative 300" /</t>
        </is>
      </c>
      <c r="C42" s="8" t="inlineStr">
        <is>
          <t>Controls (MCA, train control, er etc)</t>
        </is>
      </c>
      <c r="D42" s="8" t="inlineStr">
        <is>
          <t>Wiring</t>
        </is>
      </c>
      <c r="E42" s="11" t="n">
        <v>25</v>
      </c>
      <c r="F42" s="9" t="n">
        <v>8.118</v>
      </c>
      <c r="H42" s="9" t="n">
        <v>326.820824748</v>
      </c>
      <c r="I42" s="9" t="n">
        <v>16.36968819173554</v>
      </c>
      <c r="J42" s="9" t="n">
        <v>409.2422047933885</v>
      </c>
      <c r="K42" s="10" t="n">
        <v>1686.39545569968</v>
      </c>
      <c r="L42" s="10" t="n">
        <v>2111.689776733885</v>
      </c>
      <c r="O42" s="8" t="inlineStr">
        <is>
          <t>Imported BOM (USA)</t>
        </is>
      </c>
      <c r="P42" s="8" t="inlineStr">
        <is>
          <t>Brazilian factory PAC price (local Brazilian cost)</t>
        </is>
      </c>
      <c r="W42" t="n">
        <v>0.227</v>
      </c>
      <c r="X42" t="inlineStr">
        <is>
          <t>85446000</t>
        </is>
      </c>
      <c r="Y42" t="inlineStr">
        <is>
          <t>24x20x24</t>
        </is>
      </c>
      <c r="Z42" t="inlineStr">
        <is>
          <t>Exact PN match in item catalog (84A207079ABP1)</t>
        </is>
      </c>
      <c r="AA42" t="inlineStr">
        <is>
          <t>High</t>
        </is>
      </c>
    </row>
    <row r="43" ht="35.25" customHeight="1" s="35">
      <c r="A43" s="8" t="inlineStr">
        <is>
          <t>84A201850P4</t>
        </is>
      </c>
      <c r="B43" s="8" t="inlineStr">
        <is>
          <t>ENGINE CONTROL SWITCH</t>
        </is>
      </c>
      <c r="C43" s="8" t="inlineStr">
        <is>
          <t>Controls (MCA, train control, er etc)</t>
        </is>
      </c>
      <c r="D43" s="8" t="inlineStr">
        <is>
          <t>TRAIN CONTROL</t>
        </is>
      </c>
      <c r="E43" s="11" t="n">
        <v>1</v>
      </c>
      <c r="F43" s="9" t="n">
        <v>171.544</v>
      </c>
      <c r="H43" s="9" t="n">
        <v>276.2461274233601</v>
      </c>
      <c r="I43" s="9" t="n">
        <v>345.9130070415227</v>
      </c>
      <c r="J43" s="9" t="n">
        <v>345.9130070415227</v>
      </c>
      <c r="K43" s="10" t="n">
        <v>1425.430017504538</v>
      </c>
      <c r="L43" s="10" t="n">
        <v>1784.911116334257</v>
      </c>
      <c r="O43" s="8" t="inlineStr">
        <is>
          <t>Imported BOM (USA)</t>
        </is>
      </c>
      <c r="P43" s="8" t="inlineStr">
        <is>
          <t>Brazilian factory PAC price (local Brazilian cost)</t>
        </is>
      </c>
    </row>
    <row r="44" ht="35.25" customHeight="1" s="35">
      <c r="A44" s="8" t="inlineStr">
        <is>
          <t>RCCR-PWRCBL</t>
        </is>
      </c>
      <c r="B44" s="8" t="inlineStr">
        <is>
          <t>CABLE, PWR, 72V,RA,6.5FT (78").,RR-070,RCCR</t>
        </is>
      </c>
      <c r="C44" s="8" t="inlineStr">
        <is>
          <t>Connectivity</t>
        </is>
      </c>
      <c r="D44" s="8" t="inlineStr">
        <is>
          <t>VOICE RADIO</t>
        </is>
      </c>
      <c r="E44" s="11" t="n">
        <v>1</v>
      </c>
      <c r="F44" s="9" t="n">
        <v>159</v>
      </c>
      <c r="H44" s="9" t="n">
        <v>256.04587896</v>
      </c>
      <c r="I44" s="9" t="n">
        <v>320.6184309541698</v>
      </c>
      <c r="J44" s="9" t="n">
        <v>320.6184309541698</v>
      </c>
      <c r="K44" s="10" t="n">
        <v>1321.1967354336</v>
      </c>
      <c r="L44" s="10" t="n">
        <v>1654.391103723516</v>
      </c>
      <c r="O44" s="8" t="inlineStr">
        <is>
          <t>Imported BOM (USA)</t>
        </is>
      </c>
      <c r="P44" s="8" t="inlineStr">
        <is>
          <t>Brazilian factory PAC price (local Brazilian cost)</t>
        </is>
      </c>
      <c r="R44" t="inlineStr">
        <is>
          <t>Wire/Cable</t>
        </is>
      </c>
      <c r="S44" t="inlineStr">
        <is>
          <t>Low confidence - PAC match, different length</t>
        </is>
      </c>
      <c r="T44" s="3" t="n">
        <v>1654.391103723516</v>
      </c>
      <c r="U44" s="3" t="n">
        <v>806.5937814985939</v>
      </c>
      <c r="V44" t="inlineStr">
        <is>
          <t>PAC/National is cheaper (by R$ 847.80)</t>
        </is>
      </c>
    </row>
    <row r="45" ht="35.25" customHeight="1" s="35">
      <c r="A45" s="8" t="inlineStr">
        <is>
          <t>41A216641P158</t>
        </is>
      </c>
      <c r="B45" s="8" t="inlineStr">
        <is>
          <t>SNIO CONNECTOR 3</t>
        </is>
      </c>
      <c r="C45" s="8" t="inlineStr">
        <is>
          <t>Controls (MCA, train control, er etc)</t>
        </is>
      </c>
      <c r="D45" s="8" t="inlineStr">
        <is>
          <t>Wiring</t>
        </is>
      </c>
      <c r="E45" s="11" t="n">
        <v>2</v>
      </c>
      <c r="H45" s="9" t="n">
        <v>251.781884087561</v>
      </c>
      <c r="I45" s="9" t="n">
        <v>157.6395467615584</v>
      </c>
      <c r="J45" s="9" t="n">
        <v>315.2790935231167</v>
      </c>
      <c r="K45" s="10" t="n">
        <v>1299.194521891815</v>
      </c>
      <c r="L45" s="10" t="n">
        <v>1626.840122579282</v>
      </c>
      <c r="M45" s="10" t="n">
        <v>649.5972609459074</v>
      </c>
      <c r="O45" s="8" t="inlineStr">
        <is>
          <t>PAC (Brazil BRL)</t>
        </is>
      </c>
      <c r="P45" s="8" t="inlineStr">
        <is>
          <t>Brazilian factory PAC price (local Brazilian cost)</t>
        </is>
      </c>
      <c r="R45" t="inlineStr">
        <is>
          <t>Connector/Plug</t>
        </is>
      </c>
      <c r="S45" t="inlineStr">
        <is>
          <t>Already nationalized (PAC)</t>
        </is>
      </c>
      <c r="T45" s="3" t="n">
        <v>1529.528013903132</v>
      </c>
      <c r="U45" s="3" t="n">
        <v>1626.840122579282</v>
      </c>
      <c r="V45" t="inlineStr">
        <is>
          <t>Import is cheaper (by R$ 97.31)</t>
        </is>
      </c>
      <c r="W45" t="n">
        <v>0.091</v>
      </c>
      <c r="X45" t="inlineStr">
        <is>
          <t>85366990</t>
        </is>
      </c>
      <c r="Y45" t="inlineStr">
        <is>
          <t>3x2x3</t>
        </is>
      </c>
      <c r="Z45" t="inlineStr">
        <is>
          <t>Exact PN match in item catalog (41A216641P158)</t>
        </is>
      </c>
      <c r="AA45" t="inlineStr">
        <is>
          <t>High</t>
        </is>
      </c>
    </row>
    <row r="46" ht="35.25" customHeight="1" s="35">
      <c r="A46" s="8" t="inlineStr">
        <is>
          <t>41B546301P4</t>
        </is>
      </c>
      <c r="B46" s="8" t="inlineStr">
        <is>
          <t>DOOR INTERLOCK SWITCH</t>
        </is>
      </c>
      <c r="C46" s="8" t="inlineStr">
        <is>
          <t>Controls (MCA, train control, er etc)</t>
        </is>
      </c>
      <c r="D46" s="8" t="inlineStr">
        <is>
          <t>TRAIN CONTROL</t>
        </is>
      </c>
      <c r="E46" s="11" t="n">
        <v>1</v>
      </c>
      <c r="H46" s="9" t="n">
        <v>248.5377345159902</v>
      </c>
      <c r="I46" s="9" t="n">
        <v>311.216797540684</v>
      </c>
      <c r="J46" s="9" t="n">
        <v>311.216797540684</v>
      </c>
      <c r="K46" s="10" t="n">
        <v>1282.454710102509</v>
      </c>
      <c r="L46" s="10" t="n">
        <v>1605.878675309929</v>
      </c>
      <c r="M46" s="10" t="n">
        <v>1282.454710102509</v>
      </c>
      <c r="O46" s="8" t="inlineStr">
        <is>
          <t>PAC (Brazil BRL)</t>
        </is>
      </c>
      <c r="P46" s="8" t="inlineStr">
        <is>
          <t>Brazilian factory PAC price (local Brazilian cost)</t>
        </is>
      </c>
      <c r="W46" t="n">
        <v>0.966</v>
      </c>
      <c r="X46" t="inlineStr">
        <is>
          <t>85365090</t>
        </is>
      </c>
      <c r="Y46" t="inlineStr">
        <is>
          <t>6x2.25x3</t>
        </is>
      </c>
      <c r="Z46" t="inlineStr">
        <is>
          <t>Exact PN match in item catalog (41B546301P4)</t>
        </is>
      </c>
      <c r="AA46" t="inlineStr">
        <is>
          <t>High</t>
        </is>
      </c>
    </row>
    <row r="47" ht="35.25" customHeight="1" s="35">
      <c r="A47" s="8" t="inlineStr">
        <is>
          <t>84A201169AKP1</t>
        </is>
      </c>
      <c r="B47" s="8" t="inlineStr">
        <is>
          <t>ENGINEERS HORN BUTTON</t>
        </is>
      </c>
      <c r="C47" s="8" t="inlineStr">
        <is>
          <t>Controls (MCA, train control, er etc)</t>
        </is>
      </c>
      <c r="D47" s="8" t="inlineStr">
        <is>
          <t>TRAIN CONTROL</t>
        </is>
      </c>
      <c r="E47" s="11" t="n">
        <v>1</v>
      </c>
      <c r="H47" s="9" t="n">
        <v>220.8566300892168</v>
      </c>
      <c r="I47" s="9" t="n">
        <v>276.5547584387888</v>
      </c>
      <c r="J47" s="9" t="n">
        <v>276.5547584387888</v>
      </c>
      <c r="K47" s="10" t="n">
        <v>1139.620211260358</v>
      </c>
      <c r="L47" s="10" t="n">
        <v>1427.02255354415</v>
      </c>
      <c r="M47" s="10" t="n">
        <v>1139.620211260358</v>
      </c>
      <c r="O47" s="8" t="inlineStr">
        <is>
          <t>PAC (Brazil BRL)</t>
        </is>
      </c>
      <c r="P47" s="8" t="inlineStr">
        <is>
          <t>Calculated with TP (17.2%) + International Freight (15%) + Import Duty (16%) + Domestic Freight (3%) | Qtd=1.0</t>
        </is>
      </c>
      <c r="W47" t="n">
        <v>0.463</v>
      </c>
      <c r="X47" t="inlineStr">
        <is>
          <t>85365090</t>
        </is>
      </c>
      <c r="Y47" t="inlineStr">
        <is>
          <t>9.35x5.3x5.2</t>
        </is>
      </c>
      <c r="Z47" t="inlineStr">
        <is>
          <t>Exact PN match in item catalog (84A201169AKP1)</t>
        </is>
      </c>
      <c r="AA47" t="inlineStr">
        <is>
          <t>High</t>
        </is>
      </c>
    </row>
    <row r="48" ht="35.25" customHeight="1" s="35">
      <c r="A48" s="8" t="inlineStr">
        <is>
          <t>41B549523ABP101</t>
        </is>
      </c>
      <c r="B48" s="8" t="inlineStr">
        <is>
          <t>BATTERY SAVER RESET PUSH BUTTON</t>
        </is>
      </c>
      <c r="C48" s="8" t="inlineStr">
        <is>
          <t>Controls (MCA, train control, er etc)</t>
        </is>
      </c>
      <c r="D48" s="8" t="inlineStr">
        <is>
          <t>TRAIN CONTROL</t>
        </is>
      </c>
      <c r="E48" s="11" t="n">
        <v>1</v>
      </c>
      <c r="H48" s="9" t="n">
        <v>216.5860005930232</v>
      </c>
      <c r="I48" s="9" t="n">
        <v>271.2071131893604</v>
      </c>
      <c r="J48" s="9" t="n">
        <v>271.2071131893604</v>
      </c>
      <c r="K48" s="10" t="n">
        <v>1117.58376306</v>
      </c>
      <c r="L48" s="10" t="n">
        <v>1399.4287040571</v>
      </c>
      <c r="M48" s="10" t="n">
        <v>1117.58376306</v>
      </c>
      <c r="O48" s="8" t="inlineStr">
        <is>
          <t>PAC (Brazil BRL)</t>
        </is>
      </c>
      <c r="P48" s="8" t="inlineStr">
        <is>
          <t>Brazilian factory PAC price (local Brazilian cost)</t>
        </is>
      </c>
      <c r="W48" t="n">
        <v>0.215</v>
      </c>
      <c r="X48" t="inlineStr">
        <is>
          <t>85365090</t>
        </is>
      </c>
      <c r="Y48" t="inlineStr">
        <is>
          <t>3.875x1.625x2.125</t>
        </is>
      </c>
      <c r="Z48" t="inlineStr">
        <is>
          <t>Exact PN match in item catalog (41B549523ABP101)</t>
        </is>
      </c>
      <c r="AA48" t="inlineStr">
        <is>
          <t>High</t>
        </is>
      </c>
    </row>
    <row r="49" ht="35.25" customHeight="1" s="35">
      <c r="A49" s="8" t="inlineStr">
        <is>
          <t>41B564808G1</t>
        </is>
      </c>
      <c r="B49" s="8" t="inlineStr">
        <is>
          <t>A-DIODE ASM</t>
        </is>
      </c>
      <c r="C49" s="8" t="inlineStr">
        <is>
          <t>SKID Assembly</t>
        </is>
      </c>
      <c r="D49" s="8" t="inlineStr">
        <is>
          <t>SKID (Skid)</t>
        </is>
      </c>
      <c r="E49" s="11" t="n">
        <v>16</v>
      </c>
      <c r="H49" s="9" t="n">
        <v>197.8697512114788</v>
      </c>
      <c r="I49" s="9" t="n">
        <v>15.48567424332259</v>
      </c>
      <c r="J49" s="9" t="n">
        <v>247.7707878931615</v>
      </c>
      <c r="K49" s="10" t="n">
        <v>1021.007916251231</v>
      </c>
      <c r="L49" s="10" t="n">
        <v>1278.497265528713</v>
      </c>
      <c r="M49" s="10" t="n">
        <v>63.81299476570191</v>
      </c>
      <c r="O49" s="8" t="inlineStr">
        <is>
          <t>PAC (Brazil BRL)</t>
        </is>
      </c>
      <c r="P49" s="8" t="inlineStr">
        <is>
          <t>Brazilian factory PAC price (local Brazilian cost)</t>
        </is>
      </c>
      <c r="W49" t="n">
        <v>0.045</v>
      </c>
      <c r="X49" t="inlineStr">
        <is>
          <t>85411092</t>
        </is>
      </c>
      <c r="Y49" t="inlineStr">
        <is>
          <t>3x0.75x1.5</t>
        </is>
      </c>
      <c r="Z49" t="inlineStr">
        <is>
          <t>Exact PN match in item catalog (41B564808G1)</t>
        </is>
      </c>
      <c r="AA49" t="inlineStr">
        <is>
          <t>High</t>
        </is>
      </c>
    </row>
    <row r="50" ht="35.25" customHeight="1" s="35">
      <c r="A50" s="8" t="inlineStr">
        <is>
          <t>497A365P13</t>
        </is>
      </c>
      <c r="B50" s="8" t="inlineStr">
        <is>
          <t>ALARM AND SIGNAL BELL</t>
        </is>
      </c>
      <c r="C50" s="8" t="inlineStr">
        <is>
          <t>Controls (MCA, train control, er etc)</t>
        </is>
      </c>
      <c r="D50" s="8" t="inlineStr">
        <is>
          <t>TRAIN CONTROL</t>
        </is>
      </c>
      <c r="E50" s="11" t="n">
        <v>1</v>
      </c>
      <c r="H50" s="9" t="n">
        <v>189.0780872638066</v>
      </c>
      <c r="I50" s="9" t="n">
        <v>236.7619424790966</v>
      </c>
      <c r="J50" s="9" t="n">
        <v>236.7619424790966</v>
      </c>
      <c r="K50" s="10" t="n">
        <v>975.6429302812419</v>
      </c>
      <c r="L50" s="10" t="n">
        <v>1221.691623192139</v>
      </c>
      <c r="M50" s="10" t="n">
        <v>975.6429302812419</v>
      </c>
      <c r="O50" s="8" t="inlineStr">
        <is>
          <t>PAC (Brazil BRL)</t>
        </is>
      </c>
      <c r="P50" s="8" t="inlineStr">
        <is>
          <t>Calculated with TP (17.2%) + International Freight (15%) + Import Duty (16%) + Domestic Freight (3%) | Qtd=1.0</t>
        </is>
      </c>
      <c r="W50" t="n">
        <v>0.962</v>
      </c>
      <c r="X50" t="inlineStr">
        <is>
          <t>85318000</t>
        </is>
      </c>
      <c r="Y50" t="inlineStr">
        <is>
          <t>7x3.25x4.75</t>
        </is>
      </c>
      <c r="Z50" t="inlineStr">
        <is>
          <t>Exact PN match in item catalog (497A365P13)</t>
        </is>
      </c>
      <c r="AA50" t="inlineStr">
        <is>
          <t>High</t>
        </is>
      </c>
    </row>
    <row r="51" ht="35.25" customHeight="1" s="35">
      <c r="A51" s="8" t="inlineStr">
        <is>
          <t>84A201850P5</t>
        </is>
      </c>
      <c r="B51" s="8" t="inlineStr">
        <is>
          <t>AC-ROTARY SWITCH</t>
        </is>
      </c>
      <c r="C51" s="8" t="inlineStr">
        <is>
          <t>SKID Assembly</t>
        </is>
      </c>
      <c r="D51" s="8" t="inlineStr">
        <is>
          <t>SKID (Skid)</t>
        </is>
      </c>
      <c r="E51" s="11" t="n">
        <v>1</v>
      </c>
      <c r="H51" s="9" t="n">
        <v>183.4402205768718</v>
      </c>
      <c r="I51" s="9" t="n">
        <v>229.7022546667566</v>
      </c>
      <c r="J51" s="9" t="n">
        <v>229.7022546667566</v>
      </c>
      <c r="K51" s="10" t="n">
        <v>946.5515381766586</v>
      </c>
      <c r="L51" s="10" t="n">
        <v>1185.263634080464</v>
      </c>
      <c r="M51" s="10" t="n">
        <v>946.5515381766586</v>
      </c>
      <c r="O51" s="8" t="inlineStr">
        <is>
          <t>PAC (Brazil BRL)</t>
        </is>
      </c>
      <c r="P51" s="8" t="inlineStr">
        <is>
          <t>Calculated with TP (17.2%) + International Freight (15%) + Import Duty (16%) + Domestic Freight (3%) | Qtd=1.0</t>
        </is>
      </c>
      <c r="W51" t="n">
        <v>0.177</v>
      </c>
      <c r="X51" t="inlineStr">
        <is>
          <t>85365090</t>
        </is>
      </c>
      <c r="Y51" t="inlineStr">
        <is>
          <t>5.2x2.9x3.35</t>
        </is>
      </c>
      <c r="Z51" t="inlineStr">
        <is>
          <t>Exact PN match in item catalog (84A201850P5)</t>
        </is>
      </c>
      <c r="AA51" t="inlineStr">
        <is>
          <t>High</t>
        </is>
      </c>
    </row>
    <row r="52" ht="35.25" customHeight="1" s="35">
      <c r="A52" s="8" t="inlineStr">
        <is>
          <t>41A216641P235</t>
        </is>
      </c>
      <c r="B52" s="8" t="inlineStr">
        <is>
          <t>GOLINC / ACC POWER CONNECTOR</t>
        </is>
      </c>
      <c r="C52" s="8" t="inlineStr">
        <is>
          <t>Controls (MCA, train control, er etc)</t>
        </is>
      </c>
      <c r="D52" s="8" t="inlineStr">
        <is>
          <t>Wiring</t>
        </is>
      </c>
      <c r="E52" s="11" t="n">
        <v>3</v>
      </c>
      <c r="H52" s="9" t="n">
        <v>176.5883812484495</v>
      </c>
      <c r="I52" s="9" t="n">
        <v>73.70748027733931</v>
      </c>
      <c r="J52" s="9" t="n">
        <v>221.122440832018</v>
      </c>
      <c r="K52" s="10" t="n">
        <v>911.1960472419996</v>
      </c>
      <c r="L52" s="10" t="n">
        <v>1140.991794693213</v>
      </c>
      <c r="M52" s="10" t="n">
        <v>303.7320157473332</v>
      </c>
      <c r="O52" s="8" t="inlineStr">
        <is>
          <t>PAC (Brazil BRL)</t>
        </is>
      </c>
      <c r="P52" s="8" t="inlineStr">
        <is>
          <t>Calculated with TP (17.2%) + International Freight (15%) + Import Duty (16%) + Domestic Freight (3%) | Qtd=1.0</t>
        </is>
      </c>
      <c r="R52" t="inlineStr">
        <is>
          <t>Connector/Plug</t>
        </is>
      </c>
      <c r="S52" t="inlineStr">
        <is>
          <t>Already nationalized (PAC)</t>
        </is>
      </c>
      <c r="T52" s="3" t="n">
        <v>1028.805161874616</v>
      </c>
      <c r="U52" s="3" t="n">
        <v>1140.991794693213</v>
      </c>
      <c r="V52" t="inlineStr">
        <is>
          <t>Import is cheaper (by R$ 112.19)</t>
        </is>
      </c>
      <c r="W52" t="n">
        <v>0.043</v>
      </c>
      <c r="X52" t="inlineStr">
        <is>
          <t>85359090</t>
        </is>
      </c>
      <c r="Y52" t="inlineStr">
        <is>
          <t>4.52x1.35x6.95</t>
        </is>
      </c>
      <c r="Z52" t="inlineStr">
        <is>
          <t>Exact PN match in item catalog (41A216641P235)</t>
        </is>
      </c>
      <c r="AA52" t="inlineStr">
        <is>
          <t>High</t>
        </is>
      </c>
    </row>
    <row r="53" ht="35.25" customHeight="1" s="35">
      <c r="A53" s="8" t="inlineStr">
        <is>
          <t>84A206730P1</t>
        </is>
      </c>
      <c r="B53" s="8" t="inlineStr">
        <is>
          <t>565" / CABLE 5 PAIR</t>
        </is>
      </c>
      <c r="C53" s="8" t="inlineStr">
        <is>
          <t>Controls (MCA, train control, er etc)</t>
        </is>
      </c>
      <c r="D53" s="8" t="inlineStr">
        <is>
          <t>Wiring</t>
        </is>
      </c>
      <c r="E53" s="11" t="n">
        <v>50</v>
      </c>
      <c r="H53" s="9" t="n">
        <v>174.0783717380565</v>
      </c>
      <c r="I53" s="9" t="n">
        <v>4.359588573454958</v>
      </c>
      <c r="J53" s="9" t="n">
        <v>217.9794286727479</v>
      </c>
      <c r="K53" s="10" t="n">
        <v>898.2443981683714</v>
      </c>
      <c r="L53" s="10" t="n">
        <v>1124.773851951379</v>
      </c>
      <c r="M53" s="10" t="n">
        <v>17.96488796336743</v>
      </c>
      <c r="O53" s="8" t="inlineStr">
        <is>
          <t>PAC (Brazil BRL)</t>
        </is>
      </c>
      <c r="P53" s="8" t="inlineStr">
        <is>
          <t>Brazilian factory PAC price (local Brazilian cost)</t>
        </is>
      </c>
      <c r="R53" t="inlineStr">
        <is>
          <t>Wire/Cable</t>
        </is>
      </c>
      <c r="S53" t="inlineStr">
        <is>
          <t>Already nationalized (PAC)</t>
        </is>
      </c>
      <c r="T53" s="3" t="n">
        <v>975.0172291599222</v>
      </c>
      <c r="U53" s="3" t="n">
        <v>1124.773851951379</v>
      </c>
      <c r="V53" t="inlineStr">
        <is>
          <t>Import is cheaper (by R$ 149.76)</t>
        </is>
      </c>
      <c r="W53" t="n">
        <v>0.041</v>
      </c>
      <c r="X53" t="inlineStr">
        <is>
          <t>85444900</t>
        </is>
      </c>
      <c r="Y53" t="inlineStr">
        <is>
          <t>12x0.5x0.5</t>
        </is>
      </c>
      <c r="Z53" t="inlineStr">
        <is>
          <t>Exact PN match in item catalog (84A206730P1)</t>
        </is>
      </c>
      <c r="AA53" t="inlineStr">
        <is>
          <t>High</t>
        </is>
      </c>
    </row>
    <row r="54" ht="35.25" customHeight="1" s="35">
      <c r="A54" s="8" t="inlineStr">
        <is>
          <t>41B549523ADP108</t>
        </is>
      </c>
      <c r="B54" s="8" t="inlineStr">
        <is>
          <t>VIGILANCE RESET SWITCH</t>
        </is>
      </c>
      <c r="C54" s="8" t="inlineStr">
        <is>
          <t>Controls (MCA, train control, er etc)</t>
        </is>
      </c>
      <c r="D54" s="8" t="inlineStr">
        <is>
          <t>TRAIN CONTROL</t>
        </is>
      </c>
      <c r="E54" s="11" t="n">
        <v>1</v>
      </c>
      <c r="H54" s="9" t="n">
        <v>155.80760902725</v>
      </c>
      <c r="I54" s="9" t="n">
        <v>195.1009379254319</v>
      </c>
      <c r="J54" s="9" t="n">
        <v>195.1009379254319</v>
      </c>
      <c r="K54" s="10" t="n">
        <v>803.9672625806097</v>
      </c>
      <c r="L54" s="10" t="n">
        <v>1006.720839695229</v>
      </c>
      <c r="M54" s="10" t="n">
        <v>803.9672625806097</v>
      </c>
      <c r="O54" s="8" t="inlineStr">
        <is>
          <t>PAC (Brazil BRL)</t>
        </is>
      </c>
      <c r="P54" s="8" t="inlineStr">
        <is>
          <t>Brazilian factory PAC price (local Brazilian cost)</t>
        </is>
      </c>
      <c r="W54" t="n">
        <v>0.204</v>
      </c>
      <c r="X54" t="inlineStr">
        <is>
          <t>85365090</t>
        </is>
      </c>
      <c r="Y54" t="inlineStr">
        <is>
          <t>4x2.5x2.5</t>
        </is>
      </c>
      <c r="Z54" t="inlineStr">
        <is>
          <t>Exact PN match in item catalog (41B549523ADP108)</t>
        </is>
      </c>
      <c r="AA54" t="inlineStr">
        <is>
          <t>High</t>
        </is>
      </c>
    </row>
    <row r="55" ht="35.25" customHeight="1" s="35">
      <c r="A55" s="8" t="inlineStr">
        <is>
          <t>41A317303ACP49</t>
        </is>
      </c>
      <c r="B55" s="8" t="inlineStr">
        <is>
          <t>AIR RESERVOIR
PRESSURE
SENSOR</t>
        </is>
      </c>
      <c r="C55" s="8" t="inlineStr">
        <is>
          <t>Controls (MCA, train control, er etc)</t>
        </is>
      </c>
      <c r="D55" s="8" t="inlineStr">
        <is>
          <t>MCA</t>
        </is>
      </c>
      <c r="E55" s="11" t="n">
        <v>1</v>
      </c>
      <c r="H55" s="9" t="n">
        <v>145.1861250861583</v>
      </c>
      <c r="I55" s="9" t="n">
        <v>181.8008077712976</v>
      </c>
      <c r="J55" s="9" t="n">
        <v>181.8008077712976</v>
      </c>
      <c r="K55" s="10" t="n">
        <v>749.1604054445767</v>
      </c>
      <c r="L55" s="10" t="n">
        <v>938.0921680998957</v>
      </c>
      <c r="M55" s="10" t="n">
        <v>749.1604054445767</v>
      </c>
      <c r="O55" s="8" t="inlineStr">
        <is>
          <t>PAC (Brazil BRL)</t>
        </is>
      </c>
      <c r="P55" s="8" t="inlineStr">
        <is>
          <t>Brazilian factory PAC price (local Brazilian cost)</t>
        </is>
      </c>
      <c r="W55" t="n">
        <v>0.045</v>
      </c>
      <c r="X55" t="inlineStr">
        <is>
          <t>90262090</t>
        </is>
      </c>
      <c r="Y55" t="inlineStr">
        <is>
          <t>2.9x0.5x0.5</t>
        </is>
      </c>
      <c r="Z55" t="inlineStr">
        <is>
          <t>Exact PN match in item catalog (41A317303ACP49)</t>
        </is>
      </c>
      <c r="AA55" t="inlineStr">
        <is>
          <t>High</t>
        </is>
      </c>
    </row>
    <row r="56" ht="35.25" customHeight="1" s="35">
      <c r="A56" s="8" t="inlineStr">
        <is>
          <t>41A216641AMP126</t>
        </is>
      </c>
      <c r="B56" s="8" t="inlineStr">
        <is>
          <t>NIO1D CONNECTOR BACKSHELL</t>
        </is>
      </c>
      <c r="C56" s="8" t="inlineStr">
        <is>
          <t>Controls (MCA, train control, er etc)</t>
        </is>
      </c>
      <c r="D56" s="8" t="inlineStr">
        <is>
          <t>Wiring</t>
        </is>
      </c>
      <c r="E56" s="11" t="n">
        <v>3</v>
      </c>
      <c r="F56" s="9" t="n">
        <v>29.9096</v>
      </c>
      <c r="H56" s="9" t="n">
        <v>144.494902289472</v>
      </c>
      <c r="I56" s="9" t="n">
        <v>60.311754858282</v>
      </c>
      <c r="J56" s="9" t="n">
        <v>180.935264574846</v>
      </c>
      <c r="K56" s="10" t="n">
        <v>745.5936958136756</v>
      </c>
      <c r="L56" s="10" t="n">
        <v>933.6259652062054</v>
      </c>
      <c r="O56" s="8" t="inlineStr">
        <is>
          <t>Imported BOM (USA)</t>
        </is>
      </c>
      <c r="P56" s="8" t="inlineStr">
        <is>
          <t>Calculated with TP (17.2%) + International Freight (15%) + Import Duty (16%) + Domestic Freight (3%) | Qtd=1.0</t>
        </is>
      </c>
      <c r="R56" t="inlineStr">
        <is>
          <t>Connector/Plug</t>
        </is>
      </c>
      <c r="S56" t="inlineStr">
        <is>
          <t>Medium confidence PAC match (same PN family - AMP115 backshell)</t>
        </is>
      </c>
      <c r="T56" s="3" t="n">
        <v>933.6259652062054</v>
      </c>
      <c r="U56" s="3" t="n">
        <v>1034.771349962435</v>
      </c>
      <c r="V56" t="inlineStr">
        <is>
          <t>Import is cheaper (by R$ 101.15)</t>
        </is>
      </c>
      <c r="W56" t="n">
        <v>0</v>
      </c>
      <c r="Y56" t="inlineStr">
        <is>
          <t>0x0x0</t>
        </is>
      </c>
      <c r="Z56" t="inlineStr">
        <is>
          <t>Exact PN match in item catalog (41A216641AMP126)</t>
        </is>
      </c>
      <c r="AA56" t="inlineStr">
        <is>
          <t>High</t>
        </is>
      </c>
    </row>
    <row r="57" ht="35.25" customHeight="1" s="35">
      <c r="A57" s="8" t="inlineStr">
        <is>
          <t>84A215329P1</t>
        </is>
      </c>
      <c r="B57" s="8" t="inlineStr">
        <is>
          <t>ENGINE STOP SWITCH</t>
        </is>
      </c>
      <c r="C57" s="8" t="inlineStr">
        <is>
          <t>Controls (MCA, train control, er etc)</t>
        </is>
      </c>
      <c r="D57" s="8" t="inlineStr">
        <is>
          <t>TRAIN CONTROL</t>
        </is>
      </c>
      <c r="E57" s="11" t="n">
        <v>1</v>
      </c>
      <c r="H57" s="9" t="n">
        <v>136.2375060125606</v>
      </c>
      <c r="I57" s="9" t="n">
        <v>170.5954245085908</v>
      </c>
      <c r="J57" s="9" t="n">
        <v>170.5954245085908</v>
      </c>
      <c r="K57" s="10" t="n">
        <v>702.9855310248125</v>
      </c>
      <c r="L57" s="10" t="n">
        <v>880.2723904643283</v>
      </c>
      <c r="M57" s="10" t="n">
        <v>702.9855310248125</v>
      </c>
      <c r="O57" s="8" t="inlineStr">
        <is>
          <t>PAC (Brazil BRL)</t>
        </is>
      </c>
      <c r="P57" s="8" t="inlineStr">
        <is>
          <t>Brazilian factory PAC price (local Brazilian cost)</t>
        </is>
      </c>
      <c r="W57" t="n">
        <v>0.175</v>
      </c>
      <c r="X57" t="inlineStr">
        <is>
          <t>85365090</t>
        </is>
      </c>
      <c r="Y57" t="inlineStr">
        <is>
          <t>1.75x3.25x2.75</t>
        </is>
      </c>
      <c r="Z57" t="inlineStr">
        <is>
          <t>Exact PN match in item catalog (84A215329P1)</t>
        </is>
      </c>
      <c r="AA57" t="inlineStr">
        <is>
          <t>High</t>
        </is>
      </c>
    </row>
    <row r="58" ht="35.25" customHeight="1" s="35">
      <c r="A58" s="8" t="inlineStr">
        <is>
          <t>41A296328ASP3</t>
        </is>
      </c>
      <c r="B58" s="8" t="inlineStr">
        <is>
          <t>BATTERY TEMPERATURE SENSOR</t>
        </is>
      </c>
      <c r="C58" s="8" t="inlineStr">
        <is>
          <t>Controls (MCA, train control, er etc)</t>
        </is>
      </c>
      <c r="D58" s="8" t="inlineStr">
        <is>
          <t>Power</t>
        </is>
      </c>
      <c r="E58" s="11" t="n">
        <v>1</v>
      </c>
      <c r="H58" s="9" t="n">
        <v>134.7055791107647</v>
      </c>
      <c r="I58" s="9" t="n">
        <v>168.6771589165598</v>
      </c>
      <c r="J58" s="9" t="n">
        <v>168.6771589165598</v>
      </c>
      <c r="K58" s="10" t="n">
        <v>695.0807882115457</v>
      </c>
      <c r="L58" s="10" t="n">
        <v>870.3741400094488</v>
      </c>
      <c r="M58" s="10" t="n">
        <v>695.0807882115457</v>
      </c>
      <c r="O58" s="8" t="inlineStr">
        <is>
          <t>PAC (Brazil BRL)</t>
        </is>
      </c>
      <c r="P58" s="8" t="inlineStr">
        <is>
          <t>Brazilian factory PAC price (local Brazilian cost)</t>
        </is>
      </c>
      <c r="W58" t="n">
        <v>0.422</v>
      </c>
      <c r="X58" t="inlineStr">
        <is>
          <t>90251990</t>
        </is>
      </c>
      <c r="Y58" t="inlineStr">
        <is>
          <t>9.5x1.5x9.5</t>
        </is>
      </c>
      <c r="Z58" t="inlineStr">
        <is>
          <t>Exact PN match in item catalog (41A296328ASP3)</t>
        </is>
      </c>
      <c r="AA58" t="inlineStr">
        <is>
          <t>High</t>
        </is>
      </c>
    </row>
    <row r="59" ht="35.25" customHeight="1" s="35">
      <c r="A59" s="8" t="inlineStr">
        <is>
          <t>41A216641ABP45</t>
        </is>
      </c>
      <c r="B59" s="8" t="inlineStr">
        <is>
          <t>DUAL PROCESSOR MODULE 
CONNECTOR</t>
        </is>
      </c>
      <c r="C59" s="8" t="inlineStr">
        <is>
          <t>Controls (MCA, train control, er etc)</t>
        </is>
      </c>
      <c r="D59" s="8" t="inlineStr">
        <is>
          <t>Wiring</t>
        </is>
      </c>
      <c r="E59" s="11" t="n">
        <v>2</v>
      </c>
      <c r="H59" s="9" t="n">
        <v>134.4854504180379</v>
      </c>
      <c r="I59" s="9" t="n">
        <v>84.20075783748931</v>
      </c>
      <c r="J59" s="9" t="n">
        <v>168.4015156749786</v>
      </c>
      <c r="K59" s="10" t="n">
        <v>693.9449241570757</v>
      </c>
      <c r="L59" s="10" t="n">
        <v>868.9518208828897</v>
      </c>
      <c r="M59" s="10" t="n">
        <v>346.9724620785378</v>
      </c>
      <c r="O59" s="8" t="inlineStr">
        <is>
          <t>PAC (Brazil BRL)</t>
        </is>
      </c>
      <c r="P59" s="8" t="inlineStr">
        <is>
          <t>Brazilian factory PAC price (local Brazilian cost)</t>
        </is>
      </c>
      <c r="R59" t="inlineStr">
        <is>
          <t>Connector/Plug</t>
        </is>
      </c>
      <c r="S59" t="inlineStr">
        <is>
          <t>Already nationalized (PAC)</t>
        </is>
      </c>
      <c r="T59" s="3" t="n">
        <v>814.0834188901272</v>
      </c>
      <c r="U59" s="3" t="n">
        <v>868.9518208828897</v>
      </c>
      <c r="V59" t="inlineStr">
        <is>
          <t>Import is cheaper (by R$ 54.87)</t>
        </is>
      </c>
      <c r="W59" t="n">
        <v>0.058</v>
      </c>
      <c r="X59" t="inlineStr">
        <is>
          <t>85369090</t>
        </is>
      </c>
      <c r="Y59" t="inlineStr">
        <is>
          <t>2x1x1</t>
        </is>
      </c>
      <c r="Z59" t="inlineStr">
        <is>
          <t>Exact PN match in item catalog (41A216641ABP45)</t>
        </is>
      </c>
      <c r="AA59" t="inlineStr">
        <is>
          <t>High</t>
        </is>
      </c>
    </row>
    <row r="60" ht="35.25" customHeight="1" s="35">
      <c r="A60" s="8" t="inlineStr">
        <is>
          <t>84A232147P2</t>
        </is>
      </c>
      <c r="B60" s="8" t="inlineStr">
        <is>
          <t>PIN            REAR HOLD-DOWN</t>
        </is>
      </c>
      <c r="C60" s="8" t="inlineStr">
        <is>
          <t>Controls (MCA, train control, er etc)</t>
        </is>
      </c>
      <c r="D60" s="8" t="inlineStr">
        <is>
          <t>TRAIN CONTROL</t>
        </is>
      </c>
      <c r="E60" s="11" t="n">
        <v>30</v>
      </c>
      <c r="H60" s="9" t="n">
        <v>132.5706070224738</v>
      </c>
      <c r="I60" s="9" t="n">
        <v>5.533458845582846</v>
      </c>
      <c r="J60" s="9" t="n">
        <v>166.0037653674854</v>
      </c>
      <c r="K60" s="10" t="n">
        <v>684.0643322359649</v>
      </c>
      <c r="L60" s="10" t="n">
        <v>856.5794292962246</v>
      </c>
      <c r="M60" s="10" t="n">
        <v>22.8021444078655</v>
      </c>
      <c r="O60" s="8" t="inlineStr">
        <is>
          <t>PAC (Brazil BRL)</t>
        </is>
      </c>
      <c r="P60" s="8" t="inlineStr">
        <is>
          <t>Brazilian factory PAC price (local Brazilian cost)</t>
        </is>
      </c>
      <c r="R60" t="inlineStr">
        <is>
          <t>Connector/Plug</t>
        </is>
      </c>
      <c r="S60" t="inlineStr">
        <is>
          <t>Already nationalized (PAC)</t>
        </is>
      </c>
      <c r="T60" s="3" t="n">
        <v>1332.538339679373</v>
      </c>
      <c r="U60" s="3" t="n">
        <v>856.5794292962246</v>
      </c>
      <c r="V60" t="inlineStr">
        <is>
          <t>PAC/National is cheaper (by R$ 475.96)</t>
        </is>
      </c>
      <c r="W60" t="n">
        <v>0.005</v>
      </c>
      <c r="X60" t="inlineStr">
        <is>
          <t>73182900</t>
        </is>
      </c>
      <c r="Y60" t="inlineStr">
        <is>
          <t>1x0.125x0.125</t>
        </is>
      </c>
      <c r="Z60" t="inlineStr">
        <is>
          <t>Exact PN match in item catalog (84A232147P2)</t>
        </is>
      </c>
      <c r="AA60" t="inlineStr">
        <is>
          <t>High</t>
        </is>
      </c>
    </row>
    <row r="61" ht="35.25" customHeight="1" s="35">
      <c r="A61" s="8" t="inlineStr">
        <is>
          <t>41A321053G1</t>
        </is>
      </c>
      <c r="B61" s="8" t="inlineStr">
        <is>
          <t>Power Resistor</t>
        </is>
      </c>
      <c r="C61" s="8" t="inlineStr">
        <is>
          <t>Power</t>
        </is>
      </c>
      <c r="D61" s="8" t="inlineStr">
        <is>
          <t>Resistor</t>
        </is>
      </c>
      <c r="E61" s="11" t="n">
        <v>1</v>
      </c>
      <c r="H61" s="9" t="n">
        <v>132.2586718657517</v>
      </c>
      <c r="I61" s="9" t="n">
        <v>165.6131628672072</v>
      </c>
      <c r="J61" s="9" t="n">
        <v>165.6131628672072</v>
      </c>
      <c r="K61" s="10" t="n">
        <v>682.4547468272788</v>
      </c>
      <c r="L61" s="10" t="n">
        <v>854.5639203947893</v>
      </c>
      <c r="M61" s="10" t="n">
        <v>682.4547468272788</v>
      </c>
      <c r="O61" s="8" t="inlineStr">
        <is>
          <t>PAC (Brazil BRL)</t>
        </is>
      </c>
      <c r="P61" s="8" t="inlineStr">
        <is>
          <t>Brazilian factory PAC price (local Brazilian cost)</t>
        </is>
      </c>
      <c r="W61" t="n">
        <v>3.629</v>
      </c>
      <c r="X61" t="inlineStr">
        <is>
          <t>85332900</t>
        </is>
      </c>
      <c r="Y61" t="inlineStr">
        <is>
          <t>12x3x7.5</t>
        </is>
      </c>
      <c r="Z61" t="inlineStr">
        <is>
          <t>Exact PN match in item catalog (41A321053G1)</t>
        </is>
      </c>
      <c r="AA61" t="inlineStr">
        <is>
          <t>High</t>
        </is>
      </c>
    </row>
    <row r="62" ht="35.25" customHeight="1" s="35">
      <c r="A62" s="8" t="inlineStr">
        <is>
          <t>17 pin MS3106-20-29F</t>
        </is>
      </c>
      <c r="B62" s="8" t="inlineStr">
        <is>
          <t>Head of Train Device - Padom - J2 Connector</t>
        </is>
      </c>
      <c r="C62" s="8" t="inlineStr">
        <is>
          <t>Controls (MCA, train control, er etc)</t>
        </is>
      </c>
      <c r="D62" s="8" t="inlineStr">
        <is>
          <t>Wiring</t>
        </is>
      </c>
      <c r="E62" s="11" t="n">
        <v>1</v>
      </c>
      <c r="F62" s="9" t="n">
        <v>79.83</v>
      </c>
      <c r="H62" s="9" t="n">
        <v>128.5543554552</v>
      </c>
      <c r="I62" s="9" t="n">
        <v>160.9746499564238</v>
      </c>
      <c r="J62" s="9" t="n">
        <v>160.9746499564238</v>
      </c>
      <c r="K62" s="10" t="n">
        <v>663.3404741488321</v>
      </c>
      <c r="L62" s="10" t="n">
        <v>830.6291937751467</v>
      </c>
      <c r="O62" s="8" t="inlineStr">
        <is>
          <t>Imported BOM (USA)</t>
        </is>
      </c>
      <c r="P62" s="8" t="inlineStr">
        <is>
          <t>Brazilian factory PAC price (local Brazilian cost)</t>
        </is>
      </c>
      <c r="R62" t="inlineStr">
        <is>
          <t>Connector/Plug</t>
        </is>
      </c>
      <c r="S62" t="inlineStr">
        <is>
          <t>Low confidence - no comparable PAC item found</t>
        </is>
      </c>
      <c r="T62" s="3" t="n">
        <v>830.6291937751467</v>
      </c>
      <c r="U62" s="3" t="n">
        <v>836.6164347804548</v>
      </c>
      <c r="V62" t="inlineStr">
        <is>
          <t>Import is cheaper (by R$ 5.99)</t>
        </is>
      </c>
    </row>
    <row r="63" ht="35.25" customHeight="1" s="35">
      <c r="A63" s="8" t="inlineStr">
        <is>
          <t>41A216641P157</t>
        </is>
      </c>
      <c r="B63" s="8" t="inlineStr">
        <is>
          <t>SNIO CONNECTOR 2</t>
        </is>
      </c>
      <c r="C63" s="8" t="inlineStr">
        <is>
          <t>Controls (MCA, train control, er etc)</t>
        </is>
      </c>
      <c r="D63" s="8" t="inlineStr">
        <is>
          <t>Wiring</t>
        </is>
      </c>
      <c r="E63" s="11" t="n">
        <v>1</v>
      </c>
      <c r="H63" s="9" t="n">
        <v>121.2615142963924</v>
      </c>
      <c r="I63" s="9" t="n">
        <v>151.8426174510299</v>
      </c>
      <c r="J63" s="9" t="n">
        <v>151.8426174510299</v>
      </c>
      <c r="K63" s="10" t="n">
        <v>625.709413769385</v>
      </c>
      <c r="L63" s="10" t="n">
        <v>783.5079060473141</v>
      </c>
      <c r="M63" s="10" t="n">
        <v>625.709413769385</v>
      </c>
      <c r="O63" s="8" t="inlineStr">
        <is>
          <t>PAC (Brazil BRL)</t>
        </is>
      </c>
      <c r="P63" s="8" t="inlineStr">
        <is>
          <t>Brazilian factory PAC price (local Brazilian cost)</t>
        </is>
      </c>
      <c r="R63" t="inlineStr">
        <is>
          <t>Connector/Plug</t>
        </is>
      </c>
      <c r="S63" t="inlineStr">
        <is>
          <t>Already nationalized (PAC)</t>
        </is>
      </c>
      <c r="T63" s="3" t="n">
        <v>702.0133912058648</v>
      </c>
      <c r="U63" s="3" t="n">
        <v>783.5079060473141</v>
      </c>
      <c r="V63" t="inlineStr">
        <is>
          <t>Import is cheaper (by R$ 81.49)</t>
        </is>
      </c>
      <c r="W63" t="n">
        <v>0.096</v>
      </c>
      <c r="X63" t="inlineStr">
        <is>
          <t>85366990</t>
        </is>
      </c>
      <c r="Y63" t="inlineStr">
        <is>
          <t>2.5x1.5x1.5</t>
        </is>
      </c>
      <c r="Z63" t="inlineStr">
        <is>
          <t>Exact PN match in item catalog (41A216641P157)</t>
        </is>
      </c>
      <c r="AA63" t="inlineStr">
        <is>
          <t>High</t>
        </is>
      </c>
    </row>
    <row r="64" ht="35.25" customHeight="1" s="35">
      <c r="A64" s="8" t="inlineStr">
        <is>
          <t>41A216641AMP125</t>
        </is>
      </c>
      <c r="B64" s="8" t="inlineStr">
        <is>
          <t>NIO1A CONNECTOR BACKSHELL</t>
        </is>
      </c>
      <c r="C64" s="8" t="inlineStr">
        <is>
          <t>Controls (MCA, train control, er etc)</t>
        </is>
      </c>
      <c r="D64" s="8" t="inlineStr">
        <is>
          <t>Wiring</t>
        </is>
      </c>
      <c r="E64" s="11" t="n">
        <v>3</v>
      </c>
      <c r="F64" s="9" t="n">
        <v>24.1998</v>
      </c>
      <c r="H64" s="9" t="n">
        <v>116.910548333136</v>
      </c>
      <c r="I64" s="9" t="n">
        <v>48.79812519122465</v>
      </c>
      <c r="J64" s="9" t="n">
        <v>146.394375573674</v>
      </c>
      <c r="K64" s="10" t="n">
        <v>603.2584293989818</v>
      </c>
      <c r="L64" s="10" t="n">
        <v>755.3949779601576</v>
      </c>
      <c r="O64" s="8" t="inlineStr">
        <is>
          <t>Imported BOM (USA)</t>
        </is>
      </c>
      <c r="P64" s="8" t="inlineStr">
        <is>
          <t>Brazilian factory PAC price (local Brazilian cost)</t>
        </is>
      </c>
      <c r="R64" t="inlineStr">
        <is>
          <t>Connector/Plug</t>
        </is>
      </c>
      <c r="S64" t="inlineStr">
        <is>
          <t>Medium confidence PAC match (same PN family - AMP115 backshell)</t>
        </is>
      </c>
      <c r="T64" s="3" t="n">
        <v>755.3949779601576</v>
      </c>
      <c r="U64" s="3" t="n">
        <v>1034.771349962435</v>
      </c>
      <c r="V64" t="inlineStr">
        <is>
          <t>Import is cheaper (by R$ 279.38)</t>
        </is>
      </c>
      <c r="W64" t="n">
        <v>0.005</v>
      </c>
      <c r="Y64" t="inlineStr">
        <is>
          <t>0x0x0</t>
        </is>
      </c>
      <c r="Z64" t="inlineStr">
        <is>
          <t>Exact PN match in item catalog (41A216641AMP125)</t>
        </is>
      </c>
      <c r="AA64" t="inlineStr">
        <is>
          <t>High</t>
        </is>
      </c>
    </row>
    <row r="65" ht="35.25" customHeight="1" s="35">
      <c r="A65" s="8" t="inlineStr">
        <is>
          <t>5088-7000-P4611-0000000-ND‎</t>
        </is>
      </c>
      <c r="B65" s="8" t="inlineStr">
        <is>
          <t>POE Power Connector on SMM2 (M12 FEMALE 0 L-CODED FIELD-WIREA)</t>
        </is>
      </c>
      <c r="C65" s="8" t="inlineStr">
        <is>
          <t>Controls (MCA, train control, er etc)</t>
        </is>
      </c>
      <c r="D65" s="8" t="inlineStr">
        <is>
          <t>TRAIN CONTROL</t>
        </is>
      </c>
      <c r="E65" s="11" t="n">
        <v>1</v>
      </c>
      <c r="F65" s="9" t="n">
        <v>72.41</v>
      </c>
      <c r="H65" s="9" t="n">
        <v>116.6055477704</v>
      </c>
      <c r="I65" s="9" t="n">
        <v>146.0124565118958</v>
      </c>
      <c r="J65" s="9" t="n">
        <v>146.0124565118958</v>
      </c>
      <c r="K65" s="10" t="n">
        <v>601.6846264952641</v>
      </c>
      <c r="L65" s="10" t="n">
        <v>753.4242756013825</v>
      </c>
      <c r="O65" s="8" t="inlineStr">
        <is>
          <t>Imported BOM (USA)</t>
        </is>
      </c>
      <c r="P65" s="8" t="inlineStr">
        <is>
          <t>Calculated with TP (17.2%) + International Freight (15%) + Import Duty (16%) + Domestic Freight (3%) | Qtd=1.0</t>
        </is>
      </c>
      <c r="R65" t="inlineStr">
        <is>
          <t>Connector/Plug</t>
        </is>
      </c>
      <c r="S65" t="inlineStr">
        <is>
          <t>Low confidence - no current price, weak PAC reference only</t>
        </is>
      </c>
      <c r="T65" s="3" t="n">
        <v>753.4242756013825</v>
      </c>
      <c r="U65" s="3" t="n">
        <v>166.3661407463061</v>
      </c>
      <c r="V65" t="inlineStr">
        <is>
          <t>PAC/National is cheaper (by R$ 587.06)</t>
        </is>
      </c>
    </row>
    <row r="66" ht="35.25" customHeight="1" s="35">
      <c r="A66" s="8" t="inlineStr">
        <is>
          <t>41A296352PTP67</t>
        </is>
      </c>
      <c r="B66" s="8" t="inlineStr">
        <is>
          <t>CABLE CSX 12V P WR CBL</t>
        </is>
      </c>
      <c r="C66" s="8" t="inlineStr">
        <is>
          <t>Controls (MCA, train control, er etc)</t>
        </is>
      </c>
      <c r="D66" s="8" t="inlineStr">
        <is>
          <t>MCA</t>
        </is>
      </c>
      <c r="E66" s="11" t="n">
        <v>1</v>
      </c>
      <c r="F66" s="9" t="n">
        <v>71.94</v>
      </c>
      <c r="H66" s="9" t="n">
        <v>115.8486825936</v>
      </c>
      <c r="I66" s="9" t="n">
        <v>145.0647164958677</v>
      </c>
      <c r="J66" s="9" t="n">
        <v>145.0647164958677</v>
      </c>
      <c r="K66" s="10" t="n">
        <v>597.779202182976</v>
      </c>
      <c r="L66" s="10" t="n">
        <v>748.5339371186776</v>
      </c>
      <c r="O66" s="8" t="inlineStr">
        <is>
          <t>Imported BOM (USA)</t>
        </is>
      </c>
      <c r="P66" s="8" t="inlineStr">
        <is>
          <t>Brazilian factory PAC price (local Brazilian cost)</t>
        </is>
      </c>
      <c r="R66" t="inlineStr">
        <is>
          <t>Wire/Cable</t>
        </is>
      </c>
      <c r="S66" t="inlineStr">
        <is>
          <t>Low confidence - PAC candidate is more expensive</t>
        </is>
      </c>
      <c r="T66" s="3" t="n">
        <v>748.5339371186776</v>
      </c>
      <c r="U66" s="3" t="n">
        <v>1134.271099423992</v>
      </c>
      <c r="V66" t="inlineStr">
        <is>
          <t>Import is cheaper (by R$ 385.74)</t>
        </is>
      </c>
    </row>
    <row r="67" ht="35.25" customHeight="1" s="35">
      <c r="A67" s="8" t="inlineStr">
        <is>
          <t>41A296352PTP69</t>
        </is>
      </c>
      <c r="B67" s="8" t="inlineStr">
        <is>
          <t>CABLE CSX 74V P WR CBL</t>
        </is>
      </c>
      <c r="C67" s="8" t="inlineStr">
        <is>
          <t>Controls (MCA, train control, er etc)</t>
        </is>
      </c>
      <c r="D67" s="8" t="inlineStr">
        <is>
          <t>MCA</t>
        </is>
      </c>
      <c r="E67" s="11" t="n">
        <v>1</v>
      </c>
      <c r="F67" s="9" t="n">
        <v>71.94</v>
      </c>
      <c r="H67" s="9" t="n">
        <v>115.8486825936</v>
      </c>
      <c r="I67" s="9" t="n">
        <v>145.0647164958677</v>
      </c>
      <c r="J67" s="9" t="n">
        <v>145.0647164958677</v>
      </c>
      <c r="K67" s="10" t="n">
        <v>597.779202182976</v>
      </c>
      <c r="L67" s="10" t="n">
        <v>748.5339371186776</v>
      </c>
      <c r="O67" s="8" t="inlineStr">
        <is>
          <t>Imported BOM (USA)</t>
        </is>
      </c>
      <c r="P67" s="8" t="inlineStr">
        <is>
          <t>Brazilian factory PAC price (local Brazilian cost)</t>
        </is>
      </c>
      <c r="R67" t="inlineStr">
        <is>
          <t>Wire/Cable</t>
        </is>
      </c>
      <c r="S67" t="inlineStr">
        <is>
          <t>Low confidence - PAC candidate is more expensive</t>
        </is>
      </c>
      <c r="T67" s="3" t="n">
        <v>748.5339371186776</v>
      </c>
      <c r="U67" s="3" t="n">
        <v>1134.271099423992</v>
      </c>
      <c r="V67" t="inlineStr">
        <is>
          <t>Import is cheaper (by R$ 385.74)</t>
        </is>
      </c>
    </row>
    <row r="68" ht="35.25" customHeight="1" s="35">
      <c r="A68" s="8" t="inlineStr">
        <is>
          <t>41A216641AMP93</t>
        </is>
      </c>
      <c r="B68" s="8" t="inlineStr">
        <is>
          <t>NIO1E CONNECTOR</t>
        </is>
      </c>
      <c r="C68" s="8" t="inlineStr">
        <is>
          <t>Controls (MCA, train control, er etc)</t>
        </is>
      </c>
      <c r="D68" s="8" t="inlineStr">
        <is>
          <t>Wiring</t>
        </is>
      </c>
      <c r="E68" s="11" t="n">
        <v>3</v>
      </c>
      <c r="F68" s="9" t="n">
        <v>23.9499</v>
      </c>
      <c r="H68" s="9" t="n">
        <v>115.703267858568</v>
      </c>
      <c r="I68" s="9" t="n">
        <v>48.29420980823441</v>
      </c>
      <c r="J68" s="9" t="n">
        <v>144.8826294247032</v>
      </c>
      <c r="K68" s="10" t="n">
        <v>597.0288621502108</v>
      </c>
      <c r="L68" s="10" t="n">
        <v>747.5943678314686</v>
      </c>
      <c r="O68" s="8" t="inlineStr">
        <is>
          <t>Imported BOM (USA)</t>
        </is>
      </c>
      <c r="P68" s="8" t="inlineStr">
        <is>
          <t>Brazilian factory PAC price (local Brazilian cost)</t>
        </is>
      </c>
      <c r="R68" t="inlineStr">
        <is>
          <t>Connector/Plug</t>
        </is>
      </c>
      <c r="S68" t="inlineStr">
        <is>
          <t>Medium confidence PAC match (same PN family - AMP84 plug)</t>
        </is>
      </c>
      <c r="T68" s="3" t="n">
        <v>747.5943678314686</v>
      </c>
      <c r="U68" s="3" t="n">
        <v>427.8338351098799</v>
      </c>
      <c r="V68" t="inlineStr">
        <is>
          <t>PAC/National is cheaper (by R$ 319.76)</t>
        </is>
      </c>
      <c r="W68" t="n">
        <v>0.054</v>
      </c>
      <c r="Y68" t="inlineStr">
        <is>
          <t>0x0x0</t>
        </is>
      </c>
      <c r="Z68" t="inlineStr">
        <is>
          <t>Exact PN match in item catalog (41A216641AMP93)</t>
        </is>
      </c>
      <c r="AA68" t="inlineStr">
        <is>
          <t>High</t>
        </is>
      </c>
    </row>
    <row r="69" ht="35.25" customHeight="1" s="35">
      <c r="A69" s="8" t="inlineStr">
        <is>
          <t>41B549523ADP1</t>
        </is>
      </c>
      <c r="B69" s="8" t="inlineStr">
        <is>
          <t>Black push Button</t>
        </is>
      </c>
      <c r="C69" s="8" t="inlineStr">
        <is>
          <t>SKID Assembly</t>
        </is>
      </c>
      <c r="D69" s="8" t="inlineStr">
        <is>
          <t>Use in place of al levers and other push buttons</t>
        </is>
      </c>
      <c r="E69" s="11" t="n">
        <v>1</v>
      </c>
      <c r="H69" s="9" t="n">
        <v>109.6059560245728</v>
      </c>
      <c r="I69" s="9" t="n">
        <v>137.2476283803817</v>
      </c>
      <c r="J69" s="9" t="n">
        <v>137.2476283803817</v>
      </c>
      <c r="K69" s="10" t="n">
        <v>565.5667330867959</v>
      </c>
      <c r="L69" s="10" t="n">
        <v>708.1977624427698</v>
      </c>
      <c r="M69" s="10" t="n">
        <v>565.5667330867959</v>
      </c>
      <c r="O69" s="8" t="inlineStr">
        <is>
          <t>PAC (Brazil BRL)</t>
        </is>
      </c>
      <c r="P69" s="8" t="inlineStr">
        <is>
          <t>Brazilian factory PAC price (local Brazilian cost)</t>
        </is>
      </c>
      <c r="W69" t="n">
        <v>0.142</v>
      </c>
      <c r="X69" t="inlineStr">
        <is>
          <t>85365090</t>
        </is>
      </c>
      <c r="Y69" t="inlineStr">
        <is>
          <t>4x2.125x2.125</t>
        </is>
      </c>
      <c r="Z69" t="inlineStr">
        <is>
          <t>Exact PN match in item catalog (41B549523ADP1)</t>
        </is>
      </c>
      <c r="AA69" t="inlineStr">
        <is>
          <t>High</t>
        </is>
      </c>
    </row>
    <row r="70" ht="35.25" customHeight="1" s="35">
      <c r="A70" s="8" t="inlineStr">
        <is>
          <t>41B549523ADP2</t>
        </is>
      </c>
      <c r="B70" s="8" t="inlineStr">
        <is>
          <t>SWITCH PUSH BUTTON</t>
        </is>
      </c>
      <c r="C70" s="8" t="inlineStr">
        <is>
          <t>SKID Assembly</t>
        </is>
      </c>
      <c r="D70" s="8" t="inlineStr">
        <is>
          <t>SKID (Skid)</t>
        </is>
      </c>
      <c r="E70" s="11" t="n">
        <v>1</v>
      </c>
      <c r="H70" s="9" t="n">
        <v>105.1765416019148</v>
      </c>
      <c r="I70" s="9" t="n">
        <v>131.701154021932</v>
      </c>
      <c r="J70" s="9" t="n">
        <v>131.701154021932</v>
      </c>
      <c r="K70" s="10" t="n">
        <v>542.7109546658806</v>
      </c>
      <c r="L70" s="10" t="n">
        <v>679.5779547531689</v>
      </c>
      <c r="M70" s="10" t="n">
        <v>542.7109546658806</v>
      </c>
      <c r="O70" s="8" t="inlineStr">
        <is>
          <t>PAC (Brazil BRL)</t>
        </is>
      </c>
      <c r="P70" s="8" t="inlineStr">
        <is>
          <t>Brazilian factory PAC price (local Brazilian cost)</t>
        </is>
      </c>
      <c r="W70" t="n">
        <v>0.141</v>
      </c>
      <c r="X70" t="inlineStr">
        <is>
          <t>85365090</t>
        </is>
      </c>
      <c r="Y70" t="inlineStr">
        <is>
          <t>1.95x2.7x1.8</t>
        </is>
      </c>
      <c r="Z70" t="inlineStr">
        <is>
          <t>Exact PN match in item catalog (41B549523ADP2)</t>
        </is>
      </c>
      <c r="AA70" t="inlineStr">
        <is>
          <t>High</t>
        </is>
      </c>
    </row>
    <row r="71" ht="35.25" customHeight="1" s="35">
      <c r="A71" s="8" t="inlineStr">
        <is>
          <t>41A296328APP5</t>
        </is>
      </c>
      <c r="B71" s="8" t="inlineStr">
        <is>
          <t>BATTERY CURRENT SENSOR</t>
        </is>
      </c>
      <c r="C71" s="8" t="inlineStr">
        <is>
          <t>Controls (MCA, train control, er etc)</t>
        </is>
      </c>
      <c r="D71" s="8" t="inlineStr">
        <is>
          <t>MCA</t>
        </is>
      </c>
      <c r="E71" s="11" t="n">
        <v>1</v>
      </c>
      <c r="H71" s="9" t="n">
        <v>102.8519707569962</v>
      </c>
      <c r="I71" s="9" t="n">
        <v>128.7903465527124</v>
      </c>
      <c r="J71" s="9" t="n">
        <v>128.7903465527124</v>
      </c>
      <c r="K71" s="10" t="n">
        <v>530.7161691061002</v>
      </c>
      <c r="L71" s="10" t="n">
        <v>664.5581882119963</v>
      </c>
      <c r="M71" s="10" t="n">
        <v>530.7161691061002</v>
      </c>
      <c r="O71" s="8" t="inlineStr">
        <is>
          <t>PAC (Brazil BRL)</t>
        </is>
      </c>
      <c r="P71" s="8" t="inlineStr">
        <is>
          <t>Brazilian factory PAC price (local Brazilian cost)</t>
        </is>
      </c>
      <c r="W71" t="n">
        <v>0.575</v>
      </c>
      <c r="X71" t="inlineStr">
        <is>
          <t>90303390</t>
        </is>
      </c>
      <c r="Y71" t="inlineStr">
        <is>
          <t>4.75x1.25x4</t>
        </is>
      </c>
      <c r="Z71" t="inlineStr">
        <is>
          <t>Exact PN match in item catalog (41A296328APP5)</t>
        </is>
      </c>
      <c r="AA71" t="inlineStr">
        <is>
          <t>High</t>
        </is>
      </c>
    </row>
    <row r="72" ht="35.25" customHeight="1" s="35">
      <c r="A72" s="8" t="inlineStr">
        <is>
          <t>41A216641AMP103</t>
        </is>
      </c>
      <c r="B72" s="8" t="inlineStr">
        <is>
          <t>NIO1D CONNECTOR</t>
        </is>
      </c>
      <c r="C72" s="8" t="inlineStr">
        <is>
          <t>Controls (MCA, train control, er etc)</t>
        </is>
      </c>
      <c r="D72" s="8" t="inlineStr">
        <is>
          <t>Wiring</t>
        </is>
      </c>
      <c r="E72" s="11" t="n">
        <v>3</v>
      </c>
      <c r="F72" s="9" t="n">
        <v>21.2198</v>
      </c>
      <c r="H72" s="9" t="n">
        <v>102.514006459536</v>
      </c>
      <c r="I72" s="9" t="n">
        <v>42.78905019598297</v>
      </c>
      <c r="J72" s="9" t="n">
        <v>128.3671505879489</v>
      </c>
      <c r="K72" s="10" t="n">
        <v>528.9722733312058</v>
      </c>
      <c r="L72" s="10" t="n">
        <v>662.3744970338164</v>
      </c>
      <c r="O72" s="8" t="inlineStr">
        <is>
          <t>Imported BOM (USA)</t>
        </is>
      </c>
      <c r="P72" s="8" t="inlineStr">
        <is>
          <t>Brazilian factory PAC price (local Brazilian cost)</t>
        </is>
      </c>
      <c r="R72" t="inlineStr">
        <is>
          <t>Connector/Plug</t>
        </is>
      </c>
      <c r="S72" t="inlineStr">
        <is>
          <t>Low confidence - family match, wrong sub-type</t>
        </is>
      </c>
      <c r="T72" s="3" t="n">
        <v>662.3744970338164</v>
      </c>
      <c r="U72" s="3" t="n">
        <v>1034.771349962435</v>
      </c>
      <c r="V72" t="inlineStr">
        <is>
          <t>Import is cheaper (by R$ 372.40)</t>
        </is>
      </c>
      <c r="W72" t="n">
        <v>0.045</v>
      </c>
      <c r="Y72" t="inlineStr">
        <is>
          <t>1.5x1x1.5</t>
        </is>
      </c>
      <c r="Z72" t="inlineStr">
        <is>
          <t>Exact PN match in item catalog (41A216641AMP103)</t>
        </is>
      </c>
      <c r="AA72" t="inlineStr">
        <is>
          <t>High</t>
        </is>
      </c>
    </row>
    <row r="73" ht="35.25" customHeight="1" s="35">
      <c r="A73" s="8" t="inlineStr">
        <is>
          <t>16246P</t>
        </is>
      </c>
      <c r="B73" s="8" t="inlineStr">
        <is>
          <t>Flexi-Axle - WRE Part Number: 16246P</t>
        </is>
      </c>
      <c r="C73" s="8" t="inlineStr">
        <is>
          <t>PTC</t>
        </is>
      </c>
      <c r="D73" s="8" t="inlineStr">
        <is>
          <t>PTC</t>
        </is>
      </c>
      <c r="E73" s="11" t="n">
        <v>1</v>
      </c>
      <c r="F73" s="9" t="n">
        <v>59.75</v>
      </c>
      <c r="H73" s="9" t="n">
        <v>96.21849854</v>
      </c>
      <c r="I73" s="9" t="n">
        <v>120.4839701227148</v>
      </c>
      <c r="J73" s="9" t="n">
        <v>120.4839701227148</v>
      </c>
      <c r="K73" s="10" t="n">
        <v>496.4874524664</v>
      </c>
      <c r="L73" s="10" t="n">
        <v>621.6972858332082</v>
      </c>
      <c r="O73" s="8" t="inlineStr">
        <is>
          <t>Imported BOM (USA)</t>
        </is>
      </c>
      <c r="P73" s="8" t="inlineStr">
        <is>
          <t>Brazilian factory PAC price (local Brazilian cost)</t>
        </is>
      </c>
    </row>
    <row r="74" ht="35.25" customHeight="1" s="35">
      <c r="A74" s="8" t="inlineStr">
        <is>
          <t>41A216641AMP99</t>
        </is>
      </c>
      <c r="B74" s="8" t="inlineStr">
        <is>
          <t>NIO1B CONNECTOR</t>
        </is>
      </c>
      <c r="C74" s="8" t="inlineStr">
        <is>
          <t>Controls (MCA, train control, er etc)</t>
        </is>
      </c>
      <c r="D74" s="8" t="inlineStr">
        <is>
          <t>Wiring</t>
        </is>
      </c>
      <c r="E74" s="11" t="n">
        <v>3</v>
      </c>
      <c r="F74" s="9" t="n">
        <v>19.67</v>
      </c>
      <c r="H74" s="9" t="n">
        <v>95.02683847440002</v>
      </c>
      <c r="I74" s="9" t="n">
        <v>39.66392790483346</v>
      </c>
      <c r="J74" s="9" t="n">
        <v>118.9917837145004</v>
      </c>
      <c r="K74" s="10" t="n">
        <v>490.3384865279041</v>
      </c>
      <c r="L74" s="10" t="n">
        <v>613.9976039668221</v>
      </c>
      <c r="O74" s="8" t="inlineStr">
        <is>
          <t>Imported BOM (USA)</t>
        </is>
      </c>
      <c r="P74" s="8" t="inlineStr">
        <is>
          <t>Calculated with TP (17.2%) + International Freight (15%) + Import Duty (16%) + Domestic Freight (3%) | Qtd=3.0</t>
        </is>
      </c>
      <c r="R74" t="inlineStr">
        <is>
          <t>Connector/Plug</t>
        </is>
      </c>
      <c r="S74" t="inlineStr">
        <is>
          <t>Medium confidence PAC match (same PN family - AMP84 plug)</t>
        </is>
      </c>
      <c r="T74" s="3" t="n">
        <v>613.9976039668221</v>
      </c>
      <c r="U74" s="3" t="n">
        <v>427.8338351098799</v>
      </c>
      <c r="V74" t="inlineStr">
        <is>
          <t>PAC/National is cheaper (by R$ 186.16)</t>
        </is>
      </c>
      <c r="W74" t="n">
        <v>0</v>
      </c>
      <c r="Y74" t="inlineStr">
        <is>
          <t>0x0x0</t>
        </is>
      </c>
      <c r="Z74" t="inlineStr">
        <is>
          <t>Exact PN match in item catalog (41A216641AMP99)</t>
        </is>
      </c>
      <c r="AA74" t="inlineStr">
        <is>
          <t>High</t>
        </is>
      </c>
    </row>
    <row r="75" ht="35.25" customHeight="1" s="35">
      <c r="A75" s="8" t="inlineStr">
        <is>
          <t>41A216641AMP123</t>
        </is>
      </c>
      <c r="B75" s="8" t="inlineStr">
        <is>
          <t>NIO1F CONNECTOR BACKSHELL</t>
        </is>
      </c>
      <c r="C75" s="8" t="inlineStr">
        <is>
          <t>Controls (MCA, train control, er etc)</t>
        </is>
      </c>
      <c r="D75" s="8" t="inlineStr">
        <is>
          <t>Wiring</t>
        </is>
      </c>
      <c r="E75" s="11" t="n">
        <v>3</v>
      </c>
      <c r="F75" s="9" t="n">
        <v>19.5574</v>
      </c>
      <c r="H75" s="9" t="n">
        <v>94.48286175796801</v>
      </c>
      <c r="I75" s="9" t="n">
        <v>39.43687359461057</v>
      </c>
      <c r="J75" s="9" t="n">
        <v>118.3106207838317</v>
      </c>
      <c r="K75" s="10" t="n">
        <v>487.5315666711149</v>
      </c>
      <c r="L75" s="10" t="n">
        <v>610.4828032445718</v>
      </c>
      <c r="O75" s="8" t="inlineStr">
        <is>
          <t>Imported BOM (USA)</t>
        </is>
      </c>
      <c r="P75" s="8" t="inlineStr">
        <is>
          <t>Calculated with TP (17.2%) + International Freight (15%) + Import Duty (16%) + Domestic Freight (3%) | Qtd=3.0</t>
        </is>
      </c>
      <c r="R75" t="inlineStr">
        <is>
          <t>Connector/Plug</t>
        </is>
      </c>
      <c r="S75" t="inlineStr">
        <is>
          <t>Medium confidence PAC match (same PN family - AMP115 backshell)</t>
        </is>
      </c>
      <c r="T75" s="3" t="n">
        <v>610.4828032445718</v>
      </c>
      <c r="U75" s="3" t="n">
        <v>1034.771349962435</v>
      </c>
      <c r="V75" t="inlineStr">
        <is>
          <t>Import is cheaper (by R$ 424.29)</t>
        </is>
      </c>
      <c r="W75" t="n">
        <v>0.02</v>
      </c>
      <c r="Y75" t="inlineStr">
        <is>
          <t>0x0x0</t>
        </is>
      </c>
      <c r="Z75" t="inlineStr">
        <is>
          <t>Exact PN match in item catalog (41A216641AMP123)</t>
        </is>
      </c>
      <c r="AA75" t="inlineStr">
        <is>
          <t>High</t>
        </is>
      </c>
    </row>
    <row r="76" ht="35.25" customHeight="1" s="35">
      <c r="A76" s="8" t="inlineStr">
        <is>
          <t>41A216641P140</t>
        </is>
      </c>
      <c r="B76" s="8" t="inlineStr">
        <is>
          <t>Part NumberEUMATIC OPERATING UNIT
CONNECTOR - 5</t>
        </is>
      </c>
      <c r="C76" s="8" t="inlineStr">
        <is>
          <t>Air</t>
        </is>
      </c>
      <c r="D76" s="8" t="inlineStr">
        <is>
          <t>Fastbrake</t>
        </is>
      </c>
      <c r="E76" s="11" t="n">
        <v>1</v>
      </c>
      <c r="H76" s="9" t="n">
        <v>93.10614042248062</v>
      </c>
      <c r="I76" s="9" t="n">
        <v>116.5867022570506</v>
      </c>
      <c r="J76" s="9" t="n">
        <v>116.5867022570506</v>
      </c>
      <c r="K76" s="10" t="n">
        <v>480.42768458</v>
      </c>
      <c r="L76" s="10" t="n">
        <v>601.5873836463812</v>
      </c>
      <c r="M76" s="10" t="n">
        <v>480.42768458</v>
      </c>
      <c r="O76" s="8" t="inlineStr">
        <is>
          <t>PAC (Brazil BRL)</t>
        </is>
      </c>
      <c r="P76" s="8" t="inlineStr">
        <is>
          <t>Calculated with TP (17.2%) + International Freight (15%) + Import Duty (16%) + Domestic Freight (3%) | Qtd=3.0</t>
        </is>
      </c>
      <c r="R76" t="inlineStr">
        <is>
          <t>Connector/Plug</t>
        </is>
      </c>
      <c r="S76" t="inlineStr">
        <is>
          <t>Already nationalized (PAC)</t>
        </is>
      </c>
      <c r="T76" s="3" t="n">
        <v>927.4217135613918</v>
      </c>
      <c r="U76" s="3" t="n">
        <v>601.5873836463812</v>
      </c>
      <c r="V76" t="inlineStr">
        <is>
          <t>PAC/National is cheaper (by R$ 325.83)</t>
        </is>
      </c>
      <c r="W76" t="n">
        <v>0.091</v>
      </c>
      <c r="X76" t="inlineStr">
        <is>
          <t>85369090</t>
        </is>
      </c>
      <c r="Y76" t="inlineStr">
        <is>
          <t>4x2x4</t>
        </is>
      </c>
      <c r="Z76" t="inlineStr">
        <is>
          <t>Exact PN match in item catalog (41A216641P140)</t>
        </is>
      </c>
      <c r="AA76" t="inlineStr">
        <is>
          <t>High</t>
        </is>
      </c>
    </row>
    <row r="77" ht="35.25" customHeight="1" s="35">
      <c r="A77" s="8" t="inlineStr">
        <is>
          <t>41A216641AMP100</t>
        </is>
      </c>
      <c r="B77" s="8" t="inlineStr">
        <is>
          <t>NIO1C CONNECTOR</t>
        </is>
      </c>
      <c r="C77" s="8" t="inlineStr">
        <is>
          <t>Controls (MCA, train control, er etc)</t>
        </is>
      </c>
      <c r="D77" s="8" t="inlineStr">
        <is>
          <t>Wiring</t>
        </is>
      </c>
      <c r="E77" s="11" t="n">
        <v>3</v>
      </c>
      <c r="F77" s="9" t="n">
        <v>19.173</v>
      </c>
      <c r="H77" s="9" t="n">
        <v>92.62580447735999</v>
      </c>
      <c r="I77" s="9" t="n">
        <v>38.66174324958678</v>
      </c>
      <c r="J77" s="9" t="n">
        <v>115.9852297487603</v>
      </c>
      <c r="K77" s="10" t="n">
        <v>477.9491511031776</v>
      </c>
      <c r="L77" s="10" t="n">
        <v>598.4837855036034</v>
      </c>
      <c r="O77" s="8" t="inlineStr">
        <is>
          <t>Imported BOM (USA)</t>
        </is>
      </c>
      <c r="P77" s="8" t="inlineStr">
        <is>
          <t>Brazilian factory PAC price (local Brazilian cost)</t>
        </is>
      </c>
      <c r="R77" t="inlineStr">
        <is>
          <t>Connector/Plug</t>
        </is>
      </c>
      <c r="S77" t="inlineStr">
        <is>
          <t>Low confidence - family match, wrong sub-type</t>
        </is>
      </c>
      <c r="T77" s="3" t="n">
        <v>598.4837855036034</v>
      </c>
      <c r="U77" s="3" t="n">
        <v>1034.771349962435</v>
      </c>
      <c r="V77" t="inlineStr">
        <is>
          <t>Import is cheaper (by R$ 436.29)</t>
        </is>
      </c>
      <c r="W77" t="n">
        <v>0</v>
      </c>
      <c r="Y77" t="inlineStr">
        <is>
          <t>0x0x0</t>
        </is>
      </c>
      <c r="Z77" t="inlineStr">
        <is>
          <t>Exact PN match in item catalog (41A216641AMP100)</t>
        </is>
      </c>
      <c r="AA77" t="inlineStr">
        <is>
          <t>High</t>
        </is>
      </c>
    </row>
    <row r="78" ht="35.25" customHeight="1" s="35">
      <c r="A78" s="8" t="inlineStr">
        <is>
          <t>41A216641P53</t>
        </is>
      </c>
      <c r="B78" s="8" t="inlineStr">
        <is>
          <t>SNIO CONNECTOR 1</t>
        </is>
      </c>
      <c r="C78" s="8" t="inlineStr">
        <is>
          <t>Controls (MCA, train control, er etc)</t>
        </is>
      </c>
      <c r="D78" s="8" t="inlineStr">
        <is>
          <t>Wiring</t>
        </is>
      </c>
      <c r="E78" s="11" t="n">
        <v>1</v>
      </c>
      <c r="H78" s="9" t="n">
        <v>91.64981107503634</v>
      </c>
      <c r="I78" s="9" t="n">
        <v>114.7630992675136</v>
      </c>
      <c r="J78" s="9" t="n">
        <v>114.7630992675136</v>
      </c>
      <c r="K78" s="10" t="n">
        <v>472.9130251471875</v>
      </c>
      <c r="L78" s="10" t="n">
        <v>592.1775922203701</v>
      </c>
      <c r="M78" s="10" t="n">
        <v>472.9130251471875</v>
      </c>
      <c r="O78" s="8" t="inlineStr">
        <is>
          <t>PAC (Brazil BRL)</t>
        </is>
      </c>
      <c r="P78" s="8" t="inlineStr">
        <is>
          <t>Calculated with TP (17.2%) + International Freight (15%) + Import Duty (16%) + Domestic Freight (3%) | Qtd=1.0</t>
        </is>
      </c>
      <c r="R78" t="inlineStr">
        <is>
          <t>Connector/Plug</t>
        </is>
      </c>
      <c r="S78" t="inlineStr">
        <is>
          <t>Already nationalized (PAC)</t>
        </is>
      </c>
      <c r="T78" s="3" t="n">
        <v>613.8875736129124</v>
      </c>
      <c r="U78" s="3" t="n">
        <v>592.1775922203701</v>
      </c>
      <c r="V78" t="inlineStr">
        <is>
          <t>PAC/National is cheaper (by R$ 21.71)</t>
        </is>
      </c>
      <c r="W78" t="n">
        <v>0.093</v>
      </c>
      <c r="X78" t="inlineStr">
        <is>
          <t>85366990</t>
        </is>
      </c>
      <c r="Y78" t="inlineStr">
        <is>
          <t>5.85x1.95x3.9</t>
        </is>
      </c>
      <c r="Z78" t="inlineStr">
        <is>
          <t>Exact PN match in item catalog (41A216641P53)</t>
        </is>
      </c>
      <c r="AA78" t="inlineStr">
        <is>
          <t>High</t>
        </is>
      </c>
    </row>
    <row r="79" ht="35.25" customHeight="1" s="35">
      <c r="A79" s="8" t="inlineStr">
        <is>
          <t>41A216641AMP86</t>
        </is>
      </c>
      <c r="B79" s="8" t="inlineStr">
        <is>
          <t>NIO1F CONNECTOR</t>
        </is>
      </c>
      <c r="C79" s="8" t="inlineStr">
        <is>
          <t>Controls (MCA, train control, er etc)</t>
        </is>
      </c>
      <c r="D79" s="8" t="inlineStr">
        <is>
          <t>Wiring</t>
        </is>
      </c>
      <c r="E79" s="11" t="n">
        <v>3</v>
      </c>
      <c r="F79" s="9" t="n">
        <v>18.9357</v>
      </c>
      <c r="H79" s="9" t="n">
        <v>91.47939528722401</v>
      </c>
      <c r="I79" s="9" t="n">
        <v>38.18323536489857</v>
      </c>
      <c r="J79" s="9" t="n">
        <v>114.5497060946957</v>
      </c>
      <c r="K79" s="10" t="n">
        <v>472.0336796820759</v>
      </c>
      <c r="L79" s="10" t="n">
        <v>591.0764834486299</v>
      </c>
      <c r="O79" s="8" t="inlineStr">
        <is>
          <t>Imported BOM (USA)</t>
        </is>
      </c>
      <c r="P79" s="8" t="inlineStr">
        <is>
          <t>Calculated with TP (17.2%) + International Freight (15%) + Import Duty (16%) + Domestic Freight (3%) | Qtd=3.0</t>
        </is>
      </c>
      <c r="R79" t="inlineStr">
        <is>
          <t>Connector/Plug</t>
        </is>
      </c>
      <c r="S79" t="inlineStr">
        <is>
          <t>Medium confidence PAC match (same PN family - AMP84 plug)</t>
        </is>
      </c>
      <c r="T79" s="3" t="n">
        <v>591.0764834486299</v>
      </c>
      <c r="U79" s="3" t="n">
        <v>427.8338351098799</v>
      </c>
      <c r="V79" t="inlineStr">
        <is>
          <t>PAC/National is cheaper (by R$ 163.24)</t>
        </is>
      </c>
      <c r="W79" t="n">
        <v>0.032</v>
      </c>
      <c r="Y79" t="inlineStr">
        <is>
          <t>3.95x1.25x6.65</t>
        </is>
      </c>
      <c r="Z79" t="inlineStr">
        <is>
          <t>Exact PN match in item catalog (41A216641AMP86)</t>
        </is>
      </c>
      <c r="AA79" t="inlineStr">
        <is>
          <t>High</t>
        </is>
      </c>
    </row>
    <row r="80" ht="35.25" customHeight="1" s="35">
      <c r="A80" s="8" t="inlineStr">
        <is>
          <t>41A216641P141</t>
        </is>
      </c>
      <c r="B80" s="8" t="inlineStr">
        <is>
          <t>Part NumberEUMATIC OPERATING UNIT
CONNECTOR - 7</t>
        </is>
      </c>
      <c r="C80" s="8" t="inlineStr">
        <is>
          <t>Air</t>
        </is>
      </c>
      <c r="D80" s="8" t="inlineStr">
        <is>
          <t>Fastbrake</t>
        </is>
      </c>
      <c r="E80" s="11" t="n">
        <v>1</v>
      </c>
      <c r="H80" s="9" t="n">
        <v>88.37198834496124</v>
      </c>
      <c r="I80" s="9" t="n">
        <v>110.6586380477852</v>
      </c>
      <c r="J80" s="9" t="n">
        <v>110.6586380477852</v>
      </c>
      <c r="K80" s="10" t="n">
        <v>455.99945986</v>
      </c>
      <c r="L80" s="10" t="n">
        <v>570.9985723265715</v>
      </c>
      <c r="M80" s="10" t="n">
        <v>455.99945986</v>
      </c>
      <c r="O80" s="8" t="inlineStr">
        <is>
          <t>PAC (Brazil BRL)</t>
        </is>
      </c>
      <c r="P80" s="8" t="inlineStr">
        <is>
          <t>Calculated with TP (17.2%) + International Freight (15%) + Import Duty (16%) + Domestic Freight (3%) | Qtd=3.0</t>
        </is>
      </c>
      <c r="R80" t="inlineStr">
        <is>
          <t>Connector/Plug</t>
        </is>
      </c>
      <c r="S80" t="inlineStr">
        <is>
          <t>Already nationalized (PAC)</t>
        </is>
      </c>
      <c r="T80" s="3" t="n">
        <v>598.3024855914547</v>
      </c>
      <c r="U80" s="3" t="n">
        <v>570.9985723265715</v>
      </c>
      <c r="V80" t="inlineStr">
        <is>
          <t>PAC/National is cheaper (by R$ 27.30)</t>
        </is>
      </c>
      <c r="W80" t="n">
        <v>0.068</v>
      </c>
      <c r="X80" t="inlineStr">
        <is>
          <t>85369090</t>
        </is>
      </c>
      <c r="Y80" t="inlineStr">
        <is>
          <t>4x2x3</t>
        </is>
      </c>
      <c r="Z80" t="inlineStr">
        <is>
          <t>Exact PN match in item catalog (41A216641P141)</t>
        </is>
      </c>
      <c r="AA80" t="inlineStr">
        <is>
          <t>High</t>
        </is>
      </c>
    </row>
    <row r="81" ht="35.25" customHeight="1" s="35">
      <c r="A81" s="8" t="inlineStr">
        <is>
          <t>41A212414P35</t>
        </is>
      </c>
      <c r="B81" s="8" t="inlineStr">
        <is>
          <t>CIRCUIT BREAKER 1P</t>
        </is>
      </c>
      <c r="C81" s="8" t="inlineStr">
        <is>
          <t>SKID Assembly</t>
        </is>
      </c>
      <c r="D81" s="8" t="inlineStr">
        <is>
          <t>SKID (Skid)</t>
        </is>
      </c>
      <c r="E81" s="11" t="n">
        <v>6</v>
      </c>
      <c r="H81" s="9" t="n">
        <v>87.92827906116628</v>
      </c>
      <c r="I81" s="9" t="n">
        <v>18.35050485457181</v>
      </c>
      <c r="J81" s="9" t="n">
        <v>110.1030291274309</v>
      </c>
      <c r="K81" s="10" t="n">
        <v>453.709919955618</v>
      </c>
      <c r="L81" s="10" t="n">
        <v>568.1316302975433</v>
      </c>
      <c r="M81" s="10" t="n">
        <v>75.61831999260301</v>
      </c>
      <c r="O81" s="8" t="inlineStr">
        <is>
          <t>PAC (Brazil BRL)</t>
        </is>
      </c>
      <c r="P81" s="8" t="inlineStr">
        <is>
          <t>Calculated with TP (17.2%) + International Freight (15%) + Import Duty (16%) + Domestic Freight (3%) | Qtd=3.0</t>
        </is>
      </c>
      <c r="R81" t="inlineStr">
        <is>
          <t>Breaker</t>
        </is>
      </c>
      <c r="S81" t="inlineStr">
        <is>
          <t>Already nationalized (PAC)</t>
        </is>
      </c>
      <c r="T81" s="3" t="n">
        <v>603.5609611549813</v>
      </c>
      <c r="U81" s="3" t="n">
        <v>568.1316302975433</v>
      </c>
      <c r="V81" t="inlineStr">
        <is>
          <t>PAC/National is cheaper (by R$ 35.43)</t>
        </is>
      </c>
      <c r="W81" t="n">
        <v>0.095</v>
      </c>
      <c r="X81" t="inlineStr">
        <is>
          <t>85362000</t>
        </is>
      </c>
      <c r="Y81" t="inlineStr">
        <is>
          <t>3.1x0.7x2.45</t>
        </is>
      </c>
      <c r="Z81" t="inlineStr">
        <is>
          <t>Exact PN match in item catalog (41A212414P35)</t>
        </is>
      </c>
      <c r="AA81" t="inlineStr">
        <is>
          <t>High</t>
        </is>
      </c>
    </row>
    <row r="82" ht="35.25" customHeight="1" s="35">
      <c r="A82" s="8" t="inlineStr">
        <is>
          <t>41A212414P73</t>
        </is>
      </c>
      <c r="B82" s="8" t="inlineStr">
        <is>
          <t>BATT CHARGER &amp; COMP CIRCUIT BREAKER (2P, 20A / 50A)</t>
        </is>
      </c>
      <c r="C82" s="8" t="inlineStr">
        <is>
          <t>Controls (MCA, train control, er etc)</t>
        </is>
      </c>
      <c r="D82" s="8" t="inlineStr">
        <is>
          <t>Circuit Breaker</t>
        </is>
      </c>
      <c r="E82" s="11" t="n">
        <v>1</v>
      </c>
      <c r="H82" s="9" t="n">
        <v>85.98616356917438</v>
      </c>
      <c r="I82" s="9" t="n">
        <v>107.6711289371079</v>
      </c>
      <c r="J82" s="9" t="n">
        <v>107.6711289371079</v>
      </c>
      <c r="K82" s="10" t="n">
        <v>443.6886040169398</v>
      </c>
      <c r="L82" s="10" t="n">
        <v>555.5830253154769</v>
      </c>
      <c r="M82" s="10" t="n">
        <v>443.6886040169398</v>
      </c>
      <c r="O82" s="8" t="inlineStr">
        <is>
          <t>PAC (Brazil BRL)</t>
        </is>
      </c>
      <c r="P82" s="8" t="inlineStr">
        <is>
          <t>Calculated with TP (17.2%) + International Freight (15%) + Import Duty (16%) + Domestic Freight (3%) | Qtd=3.0</t>
        </is>
      </c>
      <c r="R82" t="inlineStr">
        <is>
          <t>Breaker</t>
        </is>
      </c>
      <c r="S82" t="inlineStr">
        <is>
          <t>Already nationalized (PAC)</t>
        </is>
      </c>
      <c r="T82" s="3" t="n">
        <v>552.4752458153932</v>
      </c>
      <c r="U82" s="3" t="n">
        <v>555.5830253154769</v>
      </c>
      <c r="V82" t="inlineStr">
        <is>
          <t>Import is cheaper (by R$ 3.11)</t>
        </is>
      </c>
      <c r="W82" t="n">
        <v>0.39</v>
      </c>
      <c r="X82" t="inlineStr">
        <is>
          <t>85362000</t>
        </is>
      </c>
      <c r="Y82" t="inlineStr">
        <is>
          <t>3x2x2.55</t>
        </is>
      </c>
      <c r="Z82" t="inlineStr">
        <is>
          <t>Exact PN match in item catalog (41A212414P73)</t>
        </is>
      </c>
      <c r="AA82" t="inlineStr">
        <is>
          <t>High</t>
        </is>
      </c>
    </row>
    <row r="83" ht="35.25" customHeight="1" s="35">
      <c r="A83" s="8" t="inlineStr">
        <is>
          <t>41A212414P76</t>
        </is>
      </c>
      <c r="B83" s="8" t="inlineStr">
        <is>
          <t>FUEL PUMP CIRCUIT BREAKER (4P,
25A / 45A)</t>
        </is>
      </c>
      <c r="C83" s="8" t="inlineStr">
        <is>
          <t>Controls (MCA, train control, er etc)</t>
        </is>
      </c>
      <c r="D83" s="8" t="inlineStr">
        <is>
          <t>Circuit Breaker</t>
        </is>
      </c>
      <c r="E83" s="11" t="n">
        <v>1</v>
      </c>
      <c r="H83" s="9" t="n">
        <v>82.77344995319882</v>
      </c>
      <c r="I83" s="9" t="n">
        <v>103.6481967858738</v>
      </c>
      <c r="J83" s="9" t="n">
        <v>103.6481967858738</v>
      </c>
      <c r="K83" s="10" t="n">
        <v>427.1110017585059</v>
      </c>
      <c r="L83" s="10" t="n">
        <v>534.8246954151087</v>
      </c>
      <c r="M83" s="10" t="n">
        <v>427.1110017585059</v>
      </c>
      <c r="O83" s="8" t="inlineStr">
        <is>
          <t>PAC (Brazil BRL)</t>
        </is>
      </c>
      <c r="P83" s="8" t="inlineStr">
        <is>
          <t>Calculated with TP (17.2%) + International Freight (15%) + Import Duty (16%) + Domestic Freight (3%) | Qtd=3.0</t>
        </is>
      </c>
      <c r="R83" t="inlineStr">
        <is>
          <t>Breaker</t>
        </is>
      </c>
      <c r="S83" t="inlineStr">
        <is>
          <t>Already nationalized (PAC)</t>
        </is>
      </c>
      <c r="T83" s="3" t="n">
        <v>643.0350314673822</v>
      </c>
      <c r="U83" s="3" t="n">
        <v>534.8246954151087</v>
      </c>
      <c r="V83" t="inlineStr">
        <is>
          <t>PAC/National is cheaper (by R$ 108.21)</t>
        </is>
      </c>
      <c r="W83" t="n">
        <v>0.386</v>
      </c>
      <c r="X83" t="inlineStr">
        <is>
          <t>85362000</t>
        </is>
      </c>
      <c r="Y83" t="inlineStr">
        <is>
          <t>2.9x2.45x3.05</t>
        </is>
      </c>
      <c r="Z83" t="inlineStr">
        <is>
          <t>Exact PN match in item catalog (41A212414P76)</t>
        </is>
      </c>
      <c r="AA83" t="inlineStr">
        <is>
          <t>High</t>
        </is>
      </c>
    </row>
    <row r="84" ht="35.25" customHeight="1" s="35">
      <c r="A84" s="8" t="inlineStr">
        <is>
          <t>41A296326DDP52</t>
        </is>
      </c>
      <c r="B84" s="8" t="inlineStr">
        <is>
          <t>EMU CONNECTOR</t>
        </is>
      </c>
      <c r="C84" s="8" t="inlineStr">
        <is>
          <t>Controls (MCA, train control, er etc)</t>
        </is>
      </c>
      <c r="D84" s="8" t="inlineStr">
        <is>
          <t>Wiring</t>
        </is>
      </c>
      <c r="E84" s="11" t="n">
        <v>1</v>
      </c>
      <c r="H84" s="9" t="n">
        <v>79.83620038759689</v>
      </c>
      <c r="I84" s="9" t="n">
        <v>99.97019833157638</v>
      </c>
      <c r="J84" s="9" t="n">
        <v>99.97019833157638</v>
      </c>
      <c r="K84" s="10" t="n">
        <v>411.954794</v>
      </c>
      <c r="L84" s="10" t="n">
        <v>515.8462233909341</v>
      </c>
      <c r="M84" s="10" t="n">
        <v>411.954794</v>
      </c>
      <c r="O84" s="8" t="inlineStr">
        <is>
          <t>PAC (Brazil BRL)</t>
        </is>
      </c>
      <c r="P84" s="8" t="inlineStr">
        <is>
          <t>Brazilian factory PAC price (local Brazilian cost)</t>
        </is>
      </c>
      <c r="R84" t="inlineStr">
        <is>
          <t>Connector/Plug</t>
        </is>
      </c>
      <c r="S84" t="inlineStr">
        <is>
          <t>Already nationalized (PAC)</t>
        </is>
      </c>
      <c r="T84" s="3" t="n">
        <v>582.4018101393276</v>
      </c>
      <c r="U84" s="3" t="n">
        <v>515.8462233909341</v>
      </c>
      <c r="V84" t="inlineStr">
        <is>
          <t>PAC/National is cheaper (by R$ 66.56)</t>
        </is>
      </c>
      <c r="W84" t="n">
        <v>0.113</v>
      </c>
      <c r="X84" t="inlineStr">
        <is>
          <t>85359090</t>
        </is>
      </c>
      <c r="Z84" t="inlineStr">
        <is>
          <t>Exact PN match in item catalog (41A296326DDP52)</t>
        </is>
      </c>
      <c r="AA84" t="inlineStr">
        <is>
          <t>High</t>
        </is>
      </c>
    </row>
    <row r="85" ht="35.25" customHeight="1" s="35">
      <c r="A85" s="8" t="inlineStr">
        <is>
          <t>84B523158P1</t>
        </is>
      </c>
      <c r="B85" s="8" t="inlineStr">
        <is>
          <t>RESERVOIR DRAIN VALVE HEATER # 1</t>
        </is>
      </c>
      <c r="C85" s="8" t="inlineStr">
        <is>
          <t>Controls (MCA, train control, er etc)</t>
        </is>
      </c>
      <c r="D85" s="8" t="inlineStr">
        <is>
          <t>TRAIN CONTROL</t>
        </is>
      </c>
      <c r="E85" s="11" t="n">
        <v>1</v>
      </c>
      <c r="H85" s="9" t="n">
        <v>77.09433757891898</v>
      </c>
      <c r="I85" s="9" t="n">
        <v>96.5368614812409</v>
      </c>
      <c r="J85" s="9" t="n">
        <v>96.5368614812409</v>
      </c>
      <c r="K85" s="10" t="n">
        <v>397.8067819072219</v>
      </c>
      <c r="L85" s="10" t="n">
        <v>498.1302052432031</v>
      </c>
      <c r="M85" s="10" t="n">
        <v>397.8067819072219</v>
      </c>
      <c r="O85" s="8" t="inlineStr">
        <is>
          <t>PAC (Brazil BRL)</t>
        </is>
      </c>
      <c r="P85" s="8" t="inlineStr">
        <is>
          <t>Brazilian factory PAC price (local Brazilian cost)</t>
        </is>
      </c>
      <c r="W85" t="n">
        <v>0.272</v>
      </c>
      <c r="X85" t="inlineStr">
        <is>
          <t>85168090</t>
        </is>
      </c>
      <c r="Y85" t="inlineStr">
        <is>
          <t>9x1.5x9</t>
        </is>
      </c>
      <c r="Z85" t="inlineStr">
        <is>
          <t>Exact PN match in item catalog (84B523158P1)</t>
        </is>
      </c>
      <c r="AA85" t="inlineStr">
        <is>
          <t>High</t>
        </is>
      </c>
    </row>
    <row r="86" ht="35.25" customHeight="1" s="35">
      <c r="A86" s="8" t="inlineStr">
        <is>
          <t>41A216641P142</t>
        </is>
      </c>
      <c r="B86" s="8" t="inlineStr">
        <is>
          <t>Part NumberEUMATIC OPERATING UNIT
CONNECTOR - 8</t>
        </is>
      </c>
      <c r="C86" s="8" t="inlineStr">
        <is>
          <t>Air</t>
        </is>
      </c>
      <c r="D86" s="8" t="inlineStr">
        <is>
          <t>Fastbrake</t>
        </is>
      </c>
      <c r="E86" s="11" t="n">
        <v>1</v>
      </c>
      <c r="H86" s="9" t="n">
        <v>74.91210540310077</v>
      </c>
      <c r="I86" s="9" t="n">
        <v>93.80428926008111</v>
      </c>
      <c r="J86" s="9" t="n">
        <v>93.80428926008111</v>
      </c>
      <c r="K86" s="10" t="n">
        <v>386.54646388</v>
      </c>
      <c r="L86" s="10" t="n">
        <v>484.0301325820185</v>
      </c>
      <c r="M86" s="10" t="n">
        <v>386.54646388</v>
      </c>
      <c r="O86" s="8" t="inlineStr">
        <is>
          <t>PAC (Brazil BRL)</t>
        </is>
      </c>
      <c r="P86" s="8" t="inlineStr">
        <is>
          <t>Brazilian factory PAC price (local Brazilian cost)</t>
        </is>
      </c>
      <c r="R86" t="inlineStr">
        <is>
          <t>Connector/Plug</t>
        </is>
      </c>
      <c r="S86" t="inlineStr">
        <is>
          <t>Already nationalized (PAC)</t>
        </is>
      </c>
      <c r="T86" s="3" t="n">
        <v>534.2875477016347</v>
      </c>
      <c r="U86" s="3" t="n">
        <v>484.0301325820185</v>
      </c>
      <c r="V86" t="inlineStr">
        <is>
          <t>PAC/National is cheaper (by R$ 50.26)</t>
        </is>
      </c>
      <c r="W86" t="n">
        <v>0.054</v>
      </c>
      <c r="X86" t="inlineStr">
        <is>
          <t>85369090</t>
        </is>
      </c>
      <c r="Y86" t="inlineStr">
        <is>
          <t>4x1x4</t>
        </is>
      </c>
      <c r="Z86" t="inlineStr">
        <is>
          <t>Exact PN match in item catalog (41A216641P142)</t>
        </is>
      </c>
      <c r="AA86" t="inlineStr">
        <is>
          <t>High</t>
        </is>
      </c>
    </row>
    <row r="87" ht="35.25" customHeight="1" s="35">
      <c r="A87" s="8" t="inlineStr">
        <is>
          <t>41A216641AMP98</t>
        </is>
      </c>
      <c r="B87" s="8" t="inlineStr">
        <is>
          <t>NIO1A CONNECTOR</t>
        </is>
      </c>
      <c r="C87" s="8" t="inlineStr">
        <is>
          <t>Controls (MCA, train control, er etc)</t>
        </is>
      </c>
      <c r="D87" s="8" t="inlineStr">
        <is>
          <t>Wiring</t>
        </is>
      </c>
      <c r="E87" s="11" t="n">
        <v>3</v>
      </c>
      <c r="F87" s="9" t="n">
        <v>15.455</v>
      </c>
      <c r="H87" s="9" t="n">
        <v>74.66394451560001</v>
      </c>
      <c r="I87" s="9" t="n">
        <v>31.16451478236915</v>
      </c>
      <c r="J87" s="9" t="n">
        <v>93.49354434710744</v>
      </c>
      <c r="K87" s="10" t="n">
        <v>385.265953700496</v>
      </c>
      <c r="L87" s="10" t="n">
        <v>482.4266888310744</v>
      </c>
      <c r="O87" s="8" t="inlineStr">
        <is>
          <t>Imported BOM (USA)</t>
        </is>
      </c>
      <c r="P87" s="8" t="inlineStr">
        <is>
          <t>Brazilian factory PAC price (local Brazilian cost)</t>
        </is>
      </c>
      <c r="R87" t="inlineStr">
        <is>
          <t>Connector/Plug</t>
        </is>
      </c>
      <c r="S87" t="inlineStr">
        <is>
          <t>Medium confidence PAC match (same PN family - AMP84 plug)</t>
        </is>
      </c>
      <c r="T87" s="3" t="n">
        <v>482.4266888310744</v>
      </c>
      <c r="U87" s="3" t="n">
        <v>427.8338351098799</v>
      </c>
      <c r="V87" t="inlineStr">
        <is>
          <t>PAC/National is cheaper (by R$ 54.59)</t>
        </is>
      </c>
      <c r="W87" t="n">
        <v>0.053</v>
      </c>
      <c r="Y87" t="inlineStr">
        <is>
          <t>0x0x0</t>
        </is>
      </c>
      <c r="Z87" t="inlineStr">
        <is>
          <t>Exact PN match in item catalog (41A216641AMP98)</t>
        </is>
      </c>
      <c r="AA87" t="inlineStr">
        <is>
          <t>High</t>
        </is>
      </c>
    </row>
    <row r="88" ht="35.25" customHeight="1" s="35">
      <c r="A88" s="8" t="inlineStr">
        <is>
          <t>41A216641ABP153</t>
        </is>
      </c>
      <c r="B88" s="8" t="inlineStr">
        <is>
          <t>HELPER'S RADIO SPEAKER 
CONNECTOR</t>
        </is>
      </c>
      <c r="C88" s="8" t="inlineStr">
        <is>
          <t>Controls (MCA, train control, er etc)</t>
        </is>
      </c>
      <c r="D88" s="8" t="inlineStr">
        <is>
          <t>Wiring</t>
        </is>
      </c>
      <c r="E88" s="11" t="n">
        <v>1</v>
      </c>
      <c r="F88" s="9" t="n">
        <v>45.7356</v>
      </c>
      <c r="H88" s="9" t="n">
        <v>73.65038931926399</v>
      </c>
      <c r="I88" s="9" t="n">
        <v>92.22437931287753</v>
      </c>
      <c r="J88" s="9" t="n">
        <v>92.22437931287753</v>
      </c>
      <c r="K88" s="10" t="n">
        <v>380.0360088874022</v>
      </c>
      <c r="L88" s="10" t="n">
        <v>475.8777972544481</v>
      </c>
      <c r="O88" s="8" t="inlineStr">
        <is>
          <t>Imported BOM (USA)</t>
        </is>
      </c>
      <c r="P88" s="8" t="inlineStr">
        <is>
          <t>Brazilian factory PAC price (local Brazilian cost)</t>
        </is>
      </c>
      <c r="R88" t="inlineStr">
        <is>
          <t>Connector/Plug</t>
        </is>
      </c>
      <c r="S88" t="inlineStr">
        <is>
          <t>Low confidence - generic family match only</t>
        </is>
      </c>
      <c r="T88" s="3" t="n">
        <v>475.8777972544481</v>
      </c>
      <c r="U88" s="3" t="n">
        <v>333.0638522909267</v>
      </c>
      <c r="V88" t="inlineStr">
        <is>
          <t>PAC/National is cheaper (by R$ 142.81)</t>
        </is>
      </c>
    </row>
    <row r="89" ht="35.25" customHeight="1" s="35">
      <c r="A89" s="8" t="inlineStr">
        <is>
          <t>17LV66BD52</t>
        </is>
      </c>
      <c r="B89" s="8" t="inlineStr">
        <is>
          <t>CONSIST MANAGER SYSTEM RELAY</t>
        </is>
      </c>
      <c r="C89" s="8" t="inlineStr">
        <is>
          <t>Controls (MCA, train control, er etc)</t>
        </is>
      </c>
      <c r="D89" s="8" t="inlineStr">
        <is>
          <t>TRAIN CONTROL</t>
        </is>
      </c>
      <c r="E89" s="11" t="n">
        <v>1</v>
      </c>
      <c r="H89" s="9" t="n">
        <v>73.00923935467161</v>
      </c>
      <c r="I89" s="9" t="n">
        <v>91.42153688288455</v>
      </c>
      <c r="J89" s="9" t="n">
        <v>91.42153688288455</v>
      </c>
      <c r="K89" s="10" t="n">
        <v>376.7276750701055</v>
      </c>
      <c r="L89" s="10" t="n">
        <v>471.7351303156843</v>
      </c>
      <c r="M89" s="10" t="n">
        <v>376.7276750701055</v>
      </c>
      <c r="O89" s="8" t="inlineStr">
        <is>
          <t>PAC (Brazil BRL)</t>
        </is>
      </c>
      <c r="P89" s="8" t="inlineStr">
        <is>
          <t>Brazilian factory PAC price (local Brazilian cost)</t>
        </is>
      </c>
      <c r="W89" t="n">
        <v>2.313</v>
      </c>
      <c r="X89" t="inlineStr">
        <is>
          <t>85364900</t>
        </is>
      </c>
      <c r="Y89" t="inlineStr">
        <is>
          <t>4.5x5.25x4.5</t>
        </is>
      </c>
      <c r="Z89" t="inlineStr">
        <is>
          <t>Exact PN match in item catalog (17LV66BD52)</t>
        </is>
      </c>
      <c r="AA89" t="inlineStr">
        <is>
          <t>High</t>
        </is>
      </c>
    </row>
    <row r="90" ht="35.25" customHeight="1" s="35">
      <c r="A90" s="8" t="inlineStr">
        <is>
          <t>17LV66J10</t>
        </is>
      </c>
      <c r="B90" s="8" t="inlineStr">
        <is>
          <t>RELAYS</t>
        </is>
      </c>
      <c r="C90" s="8" t="inlineStr">
        <is>
          <t>Controls (MCA, train control, er etc)</t>
        </is>
      </c>
      <c r="D90" s="8" t="inlineStr">
        <is>
          <t>TRAIN CONTROL</t>
        </is>
      </c>
      <c r="E90" s="11" t="n">
        <v>1</v>
      </c>
      <c r="H90" s="9" t="n">
        <v>69.55442932357491</v>
      </c>
      <c r="I90" s="9" t="n">
        <v>87.09545369844091</v>
      </c>
      <c r="J90" s="9" t="n">
        <v>87.09545369844091</v>
      </c>
      <c r="K90" s="10" t="n">
        <v>358.9008553096465</v>
      </c>
      <c r="L90" s="10" t="n">
        <v>449.4125410839551</v>
      </c>
      <c r="M90" s="10" t="n">
        <v>358.9008553096465</v>
      </c>
      <c r="O90" s="8" t="inlineStr">
        <is>
          <t>PAC (Brazil BRL)</t>
        </is>
      </c>
      <c r="P90" s="8" t="inlineStr">
        <is>
          <t>Brazilian factory PAC price (local Brazilian cost)</t>
        </is>
      </c>
      <c r="W90" t="n">
        <v>2.155</v>
      </c>
      <c r="X90" t="inlineStr">
        <is>
          <t>85364900</t>
        </is>
      </c>
      <c r="Y90" t="inlineStr">
        <is>
          <t>5.8x3.5x4.5</t>
        </is>
      </c>
      <c r="Z90" t="inlineStr">
        <is>
          <t>Exact PN match in item catalog (17LV66J10)</t>
        </is>
      </c>
      <c r="AA90" t="inlineStr">
        <is>
          <t>High</t>
        </is>
      </c>
    </row>
    <row r="91" ht="35.25" customHeight="1" s="35">
      <c r="A91" s="8" t="inlineStr">
        <is>
          <t>41A296326DDP78</t>
        </is>
      </c>
      <c r="B91" s="8" t="inlineStr">
        <is>
          <t>GEW LAYER 3 ETH ERNET SWITCH POWER PLUG</t>
        </is>
      </c>
      <c r="C91" s="8" t="inlineStr">
        <is>
          <t>Controls (MCA, train control, er etc)</t>
        </is>
      </c>
      <c r="D91" s="8" t="inlineStr">
        <is>
          <t>MCA</t>
        </is>
      </c>
      <c r="E91" s="11" t="n">
        <v>1</v>
      </c>
      <c r="H91" s="9" t="n">
        <v>64.94082552269865</v>
      </c>
      <c r="I91" s="9" t="n">
        <v>81.31833899661738</v>
      </c>
      <c r="J91" s="9" t="n">
        <v>81.31833899661738</v>
      </c>
      <c r="K91" s="10" t="n">
        <v>335.094659697125</v>
      </c>
      <c r="L91" s="10" t="n">
        <v>419.6026292225457</v>
      </c>
      <c r="M91" s="10" t="n">
        <v>335.094659697125</v>
      </c>
      <c r="O91" s="8" t="inlineStr">
        <is>
          <t>PAC (Brazil BRL)</t>
        </is>
      </c>
      <c r="P91" s="8" t="inlineStr">
        <is>
          <t>Brazilian factory PAC price (local Brazilian cost)</t>
        </is>
      </c>
      <c r="R91" t="inlineStr">
        <is>
          <t>Connector/Plug</t>
        </is>
      </c>
      <c r="S91" t="inlineStr">
        <is>
          <t>Already nationalized (PAC)</t>
        </is>
      </c>
      <c r="T91" s="3" t="n">
        <v>621.263443594086</v>
      </c>
      <c r="U91" s="3" t="n">
        <v>419.6026292225457</v>
      </c>
      <c r="V91" t="inlineStr">
        <is>
          <t>PAC/National is cheaper (by R$ 201.66)</t>
        </is>
      </c>
      <c r="W91" t="n">
        <v>0.045</v>
      </c>
      <c r="X91" t="inlineStr">
        <is>
          <t>85366990</t>
        </is>
      </c>
      <c r="Y91" t="inlineStr">
        <is>
          <t>3x1x2</t>
        </is>
      </c>
      <c r="Z91" t="inlineStr">
        <is>
          <t>Exact PN match in item catalog (41A296326DDP78)</t>
        </is>
      </c>
      <c r="AA91" t="inlineStr">
        <is>
          <t>High</t>
        </is>
      </c>
    </row>
    <row r="92" ht="35.25" customHeight="1" s="35">
      <c r="A92" s="8" t="inlineStr">
        <is>
          <t>41A265714P22</t>
        </is>
      </c>
      <c r="B92" s="8" t="inlineStr">
        <is>
          <t>SOCKET CONTACT, .75"</t>
        </is>
      </c>
      <c r="C92" s="8" t="inlineStr">
        <is>
          <t>Controls (MCA, train control, er etc)</t>
        </is>
      </c>
      <c r="D92" s="8" t="inlineStr">
        <is>
          <t>Wiring</t>
        </is>
      </c>
      <c r="E92" s="11" t="n">
        <v>109</v>
      </c>
      <c r="H92" s="9" t="n">
        <v>59.41035735938846</v>
      </c>
      <c r="I92" s="9" t="n">
        <v>0.6825058227975616</v>
      </c>
      <c r="J92" s="9" t="n">
        <v>74.39313468493421</v>
      </c>
      <c r="K92" s="10" t="n">
        <v>306.5574439744445</v>
      </c>
      <c r="L92" s="10" t="n">
        <v>383.8685749742605</v>
      </c>
      <c r="M92" s="10" t="n">
        <v>2.812453614444445</v>
      </c>
      <c r="O92" s="8" t="inlineStr">
        <is>
          <t>PAC (Brazil BRL)</t>
        </is>
      </c>
      <c r="P92" s="8" t="inlineStr">
        <is>
          <t>Calculated with TP (17.2%) + International Freight (15%) + Import Duty (16%) + Domestic Freight (3%) | Qtd=3.0</t>
        </is>
      </c>
      <c r="R92" t="inlineStr">
        <is>
          <t>Connector/Plug</t>
        </is>
      </c>
      <c r="S92" t="inlineStr">
        <is>
          <t>Already nationalized (PAC)</t>
        </is>
      </c>
      <c r="T92" s="3" t="n">
        <v>362.6947719609851</v>
      </c>
      <c r="U92" s="3" t="n">
        <v>383.8685749742605</v>
      </c>
      <c r="V92" t="inlineStr">
        <is>
          <t>Import is cheaper (by R$ 21.17)</t>
        </is>
      </c>
      <c r="W92" t="n">
        <v>0</v>
      </c>
      <c r="X92" t="inlineStr">
        <is>
          <t>85369090</t>
        </is>
      </c>
      <c r="Y92" t="inlineStr">
        <is>
          <t>0.75x0.1x0.1</t>
        </is>
      </c>
      <c r="Z92" t="inlineStr">
        <is>
          <t>Exact PN match in item catalog (41A265714P22)</t>
        </is>
      </c>
      <c r="AA92" t="inlineStr">
        <is>
          <t>High</t>
        </is>
      </c>
    </row>
    <row r="93" ht="35.25" customHeight="1" s="35">
      <c r="A93" s="8" t="inlineStr">
        <is>
          <t>41A216641ABP139</t>
        </is>
      </c>
      <c r="B93" s="8" t="inlineStr">
        <is>
          <t>DISTRIBUTED POWER RADIO MODULE
BASE CONNECTOR</t>
        </is>
      </c>
      <c r="C93" s="8" t="inlineStr">
        <is>
          <t>Controls (MCA, train control, er etc)</t>
        </is>
      </c>
      <c r="D93" s="8" t="inlineStr">
        <is>
          <t>Wiring</t>
        </is>
      </c>
      <c r="E93" s="11" t="n">
        <v>1</v>
      </c>
      <c r="H93" s="9" t="n">
        <v>54.7297996697211</v>
      </c>
      <c r="I93" s="9" t="n">
        <v>68.53218090373291</v>
      </c>
      <c r="J93" s="9" t="n">
        <v>68.53218090373291</v>
      </c>
      <c r="K93" s="10" t="n">
        <v>282.4057662957609</v>
      </c>
      <c r="L93" s="10" t="n">
        <v>353.6260534632618</v>
      </c>
      <c r="M93" s="10" t="n">
        <v>282.4057662957609</v>
      </c>
      <c r="O93" s="8" t="inlineStr">
        <is>
          <t>PAC (Brazil BRL)</t>
        </is>
      </c>
      <c r="P93" s="8" t="inlineStr">
        <is>
          <t>Brazilian factory PAC price (local Brazilian cost)</t>
        </is>
      </c>
      <c r="R93" t="inlineStr">
        <is>
          <t>Connector/Plug</t>
        </is>
      </c>
      <c r="S93" t="inlineStr">
        <is>
          <t>Already nationalized (PAC)</t>
        </is>
      </c>
      <c r="T93" s="3" t="n">
        <v>360.4846737355794</v>
      </c>
      <c r="U93" s="3" t="n">
        <v>353.6260534632618</v>
      </c>
      <c r="V93" t="inlineStr">
        <is>
          <t>PAC/National is cheaper (by R$ 6.86)</t>
        </is>
      </c>
      <c r="W93" t="n">
        <v>0.066</v>
      </c>
      <c r="X93" t="inlineStr">
        <is>
          <t>85366990</t>
        </is>
      </c>
      <c r="Y93" t="inlineStr">
        <is>
          <t>2.5x1.25x1.25</t>
        </is>
      </c>
      <c r="Z93" t="inlineStr">
        <is>
          <t>Exact PN match in item catalog (41A216641ABP139)</t>
        </is>
      </c>
      <c r="AA93" t="inlineStr">
        <is>
          <t>High</t>
        </is>
      </c>
    </row>
    <row r="94" ht="35.25" customHeight="1" s="35">
      <c r="A94" s="8" t="inlineStr">
        <is>
          <t>84B104674ASP14</t>
        </is>
      </c>
      <c r="B94" s="8" t="inlineStr">
        <is>
          <t>AMBIENT AIR TEMPERATURE SENSOR
PLUG</t>
        </is>
      </c>
      <c r="C94" s="8" t="inlineStr">
        <is>
          <t>Controls (MCA, train control, er etc)</t>
        </is>
      </c>
      <c r="D94" s="8" t="inlineStr">
        <is>
          <t>MCA</t>
        </is>
      </c>
      <c r="E94" s="11" t="n">
        <v>1</v>
      </c>
      <c r="H94" s="9" t="n">
        <v>50.92756675130185</v>
      </c>
      <c r="I94" s="9" t="n">
        <v>63.77105779026027</v>
      </c>
      <c r="J94" s="9" t="n">
        <v>63.77105779026027</v>
      </c>
      <c r="K94" s="10" t="n">
        <v>262.7862444367175</v>
      </c>
      <c r="L94" s="10" t="n">
        <v>329.058658197743</v>
      </c>
      <c r="M94" s="10" t="n">
        <v>262.7862444367175</v>
      </c>
      <c r="O94" s="8" t="inlineStr">
        <is>
          <t>PAC (Brazil BRL)</t>
        </is>
      </c>
      <c r="P94" s="8" t="inlineStr">
        <is>
          <t>Brazilian factory PAC price (local Brazilian cost)</t>
        </is>
      </c>
      <c r="R94" t="inlineStr">
        <is>
          <t>Connector/Plug</t>
        </is>
      </c>
      <c r="S94" t="inlineStr">
        <is>
          <t>Already nationalized (PAC)</t>
        </is>
      </c>
      <c r="T94" s="3" t="n">
        <v>337.8521239029884</v>
      </c>
      <c r="U94" s="3" t="n">
        <v>329.058658197743</v>
      </c>
      <c r="V94" t="inlineStr">
        <is>
          <t>PAC/National is cheaper (by R$ 8.79)</t>
        </is>
      </c>
      <c r="W94" t="n">
        <v>0.027</v>
      </c>
      <c r="X94" t="inlineStr">
        <is>
          <t>85366990</t>
        </is>
      </c>
      <c r="Y94" t="inlineStr">
        <is>
          <t>3.5x2x3.25</t>
        </is>
      </c>
      <c r="Z94" t="inlineStr">
        <is>
          <t>Exact PN match in item catalog (84B104674ASP14)</t>
        </is>
      </c>
      <c r="AA94" t="inlineStr">
        <is>
          <t>High</t>
        </is>
      </c>
    </row>
    <row r="95" ht="35.25" customHeight="1" s="35">
      <c r="A95" s="8" t="inlineStr">
        <is>
          <t>41A316591P1</t>
        </is>
      </c>
      <c r="B95" s="8" t="inlineStr">
        <is>
          <t>Card Holder 3 Slot</t>
        </is>
      </c>
      <c r="C95" s="8" t="inlineStr">
        <is>
          <t>Controls (MCA, train control, er etc)</t>
        </is>
      </c>
      <c r="D95" s="8" t="inlineStr">
        <is>
          <t>TRAIN CONTROL</t>
        </is>
      </c>
      <c r="E95" s="11" t="n">
        <v>1</v>
      </c>
      <c r="H95" s="9" t="n">
        <v>38.45097864892767</v>
      </c>
      <c r="I95" s="9" t="n">
        <v>48.14798228014985</v>
      </c>
      <c r="J95" s="9" t="n">
        <v>48.14798228014985</v>
      </c>
      <c r="K95" s="10" t="n">
        <v>198.4070498284668</v>
      </c>
      <c r="L95" s="10" t="n">
        <v>248.4435885655733</v>
      </c>
      <c r="M95" s="10" t="n">
        <v>198.4070498284668</v>
      </c>
      <c r="O95" s="8" t="inlineStr">
        <is>
          <t>PAC (Brazil BRL)</t>
        </is>
      </c>
      <c r="P95" s="8" t="inlineStr">
        <is>
          <t>Brazilian factory PAC price (local Brazilian cost)</t>
        </is>
      </c>
      <c r="W95" t="n">
        <v>1.315</v>
      </c>
      <c r="X95" t="inlineStr">
        <is>
          <t>39269090</t>
        </is>
      </c>
      <c r="Y95" t="inlineStr">
        <is>
          <t>17x1.25x12.625</t>
        </is>
      </c>
      <c r="Z95" t="inlineStr">
        <is>
          <t>Exact PN match in item catalog (41A316591P1)</t>
        </is>
      </c>
      <c r="AA95" t="inlineStr">
        <is>
          <t>High</t>
        </is>
      </c>
    </row>
    <row r="96" ht="35.25" customHeight="1" s="35">
      <c r="A96" s="8" t="inlineStr">
        <is>
          <t>41A212414P31, 41A212414P3 2-Pole Option</t>
        </is>
      </c>
      <c r="B96" s="8" t="inlineStr">
        <is>
          <t>AUTOCOUPLER CIRCUIT BREAKER,  CCB(2A)</t>
        </is>
      </c>
      <c r="C96" s="8" t="inlineStr">
        <is>
          <t>Controls (MCA, train control, er etc)</t>
        </is>
      </c>
      <c r="D96" s="8" t="inlineStr">
        <is>
          <t>Circuit Breaker</t>
        </is>
      </c>
      <c r="E96" s="11" t="n">
        <v>1</v>
      </c>
      <c r="F96" s="9" t="n">
        <v>22.0206</v>
      </c>
      <c r="H96" s="9" t="n">
        <v>35.460904919664</v>
      </c>
      <c r="I96" s="9" t="n">
        <v>44.40383786584523</v>
      </c>
      <c r="J96" s="9" t="n">
        <v>44.40383786584523</v>
      </c>
      <c r="K96" s="10" t="n">
        <v>182.9782693854663</v>
      </c>
      <c r="L96" s="10" t="n">
        <v>229.1238033877614</v>
      </c>
      <c r="O96" s="8" t="inlineStr">
        <is>
          <t>Imported BOM (USA)</t>
        </is>
      </c>
      <c r="P96" s="8" t="inlineStr">
        <is>
          <t>Brazilian factory PAC price (local Brazilian cost)</t>
        </is>
      </c>
      <c r="R96" t="inlineStr">
        <is>
          <t>Breaker</t>
        </is>
      </c>
      <c r="S96" t="inlineStr">
        <is>
          <t>High confidence PAC match (exact PN) - not yet applied</t>
        </is>
      </c>
      <c r="T96" s="3" t="n">
        <v>229.1238033877614</v>
      </c>
      <c r="U96" s="3" t="n">
        <v>94.30396293586904</v>
      </c>
      <c r="V96" t="inlineStr">
        <is>
          <t>PAC/National is cheaper (by R$ 134.82)</t>
        </is>
      </c>
      <c r="W96" t="n">
        <v>0.093</v>
      </c>
      <c r="X96" t="inlineStr">
        <is>
          <t>85362000</t>
        </is>
      </c>
      <c r="Y96" t="inlineStr">
        <is>
          <t>2.5x0.65x3.05</t>
        </is>
      </c>
      <c r="Z96" t="inlineStr">
        <is>
          <t>Exact PN match in item catalog (41A212414P31)</t>
        </is>
      </c>
      <c r="AA96" t="inlineStr">
        <is>
          <t>High</t>
        </is>
      </c>
    </row>
    <row r="97" ht="35.25" customHeight="1" s="35">
      <c r="A97" s="8" t="inlineStr">
        <is>
          <t>41A265713P22</t>
        </is>
      </c>
      <c r="B97" s="8" t="inlineStr">
        <is>
          <t>PIN</t>
        </is>
      </c>
      <c r="C97" s="8" t="inlineStr">
        <is>
          <t>Controls (MCA, train control, er etc)</t>
        </is>
      </c>
      <c r="D97" s="8" t="inlineStr">
        <is>
          <t>Wiring</t>
        </is>
      </c>
      <c r="E97" s="11" t="n">
        <v>82</v>
      </c>
      <c r="H97" s="9" t="n">
        <v>33.23489346152054</v>
      </c>
      <c r="I97" s="9" t="n">
        <v>0.5075176293501515</v>
      </c>
      <c r="J97" s="9" t="n">
        <v>41.61644560671242</v>
      </c>
      <c r="K97" s="10" t="n">
        <v>171.492050261446</v>
      </c>
      <c r="L97" s="10" t="n">
        <v>214.7408593306361</v>
      </c>
      <c r="M97" s="10" t="n">
        <v>2.091366466603</v>
      </c>
      <c r="O97" s="8" t="inlineStr">
        <is>
          <t>PAC (Brazil BRL)</t>
        </is>
      </c>
      <c r="P97" s="8" t="inlineStr">
        <is>
          <t>Calculated with TP (17.2%) + International Freight (15%) + Import Duty (16%) + Domestic Freight (3%) | Qtd=1.0</t>
        </is>
      </c>
      <c r="W97" t="n">
        <v>0</v>
      </c>
      <c r="X97" t="inlineStr">
        <is>
          <t>85389090</t>
        </is>
      </c>
      <c r="Y97" t="inlineStr">
        <is>
          <t>1x0.001x0.001</t>
        </is>
      </c>
      <c r="Z97" t="inlineStr">
        <is>
          <t>Exact PN match in item catalog (41A265713P22)</t>
        </is>
      </c>
      <c r="AA97" t="inlineStr">
        <is>
          <t>High</t>
        </is>
      </c>
    </row>
    <row r="98" ht="35.25" customHeight="1" s="35">
      <c r="A98" s="8" t="inlineStr">
        <is>
          <t>41A212414P3</t>
        </is>
      </c>
      <c r="B98" s="8" t="inlineStr">
        <is>
          <t>DYNAMIC BRAKE CIRCUIT BREAKER
(1P, 2A)</t>
        </is>
      </c>
      <c r="C98" s="8" t="inlineStr">
        <is>
          <t>Controls (MCA, train control, er etc)</t>
        </is>
      </c>
      <c r="D98" s="8" t="inlineStr">
        <is>
          <t>Circuit Breaker</t>
        </is>
      </c>
      <c r="E98" s="11" t="n">
        <v>1</v>
      </c>
      <c r="H98" s="9" t="n">
        <v>29.82187877131783</v>
      </c>
      <c r="I98" s="9" t="n">
        <v>37.34269818597274</v>
      </c>
      <c r="J98" s="9" t="n">
        <v>37.34269818597274</v>
      </c>
      <c r="K98" s="10" t="n">
        <v>153.88089446</v>
      </c>
      <c r="L98" s="10" t="n">
        <v>192.6883226396193</v>
      </c>
      <c r="M98" s="10" t="n">
        <v>153.88089446</v>
      </c>
      <c r="O98" s="8" t="inlineStr">
        <is>
          <t>PAC (Brazil BRL)</t>
        </is>
      </c>
      <c r="P98" s="8" t="inlineStr">
        <is>
          <t>Brazilian factory PAC price (local Brazilian cost)</t>
        </is>
      </c>
      <c r="R98" t="inlineStr">
        <is>
          <t>Breaker</t>
        </is>
      </c>
      <c r="S98" t="inlineStr">
        <is>
          <t>Already nationalized (PAC)</t>
        </is>
      </c>
      <c r="T98" s="3" t="n">
        <v>189.0930849819815</v>
      </c>
      <c r="U98" s="3" t="n">
        <v>192.6883226396193</v>
      </c>
      <c r="V98" t="inlineStr">
        <is>
          <t>Import is cheaper (by R$ 3.60)</t>
        </is>
      </c>
      <c r="W98" t="n">
        <v>0.193</v>
      </c>
      <c r="X98" t="inlineStr">
        <is>
          <t>85362000</t>
        </is>
      </c>
      <c r="Y98" t="inlineStr">
        <is>
          <t>3.1x1.45x2.5</t>
        </is>
      </c>
      <c r="Z98" t="inlineStr">
        <is>
          <t>Exact PN match in item catalog (41A212414P3)</t>
        </is>
      </c>
      <c r="AA98" t="inlineStr">
        <is>
          <t>High</t>
        </is>
      </c>
    </row>
    <row r="99" ht="35.25" customHeight="1" s="35">
      <c r="A99" s="8" t="inlineStr">
        <is>
          <t>41A212414P14</t>
        </is>
      </c>
      <c r="B99" s="8" t="inlineStr">
        <is>
          <t>PTC RADIO CIRCUIT BREAKER (2P,
15A)</t>
        </is>
      </c>
      <c r="C99" s="8" t="inlineStr">
        <is>
          <t>Controls (MCA, train control, er etc)</t>
        </is>
      </c>
      <c r="D99" s="8" t="inlineStr">
        <is>
          <t>Circuit Breaker</t>
        </is>
      </c>
      <c r="E99" s="11" t="n">
        <v>1</v>
      </c>
      <c r="H99" s="9" t="n">
        <v>29.79374214169389</v>
      </c>
      <c r="I99" s="9" t="n">
        <v>37.30746574216615</v>
      </c>
      <c r="J99" s="9" t="n">
        <v>37.30746574216615</v>
      </c>
      <c r="K99" s="10" t="n">
        <v>153.7357094511405</v>
      </c>
      <c r="L99" s="10" t="n">
        <v>192.5065232295773</v>
      </c>
      <c r="M99" s="10" t="n">
        <v>153.7357094511405</v>
      </c>
      <c r="O99" s="8" t="inlineStr">
        <is>
          <t>PAC (Brazil BRL)</t>
        </is>
      </c>
      <c r="P99" s="8" t="inlineStr">
        <is>
          <t>Brazilian factory PAC price (local Brazilian cost)</t>
        </is>
      </c>
      <c r="R99" t="inlineStr">
        <is>
          <t>Breaker</t>
        </is>
      </c>
      <c r="S99" t="inlineStr">
        <is>
          <t>Already nationalized (PAC)</t>
        </is>
      </c>
      <c r="T99" s="3" t="n">
        <v>188.9579741132262</v>
      </c>
      <c r="U99" s="3" t="n">
        <v>192.5065232295773</v>
      </c>
      <c r="V99" t="inlineStr">
        <is>
          <t>Import is cheaper (by R$ 3.55)</t>
        </is>
      </c>
      <c r="W99" t="n">
        <v>0.195</v>
      </c>
      <c r="X99" t="inlineStr">
        <is>
          <t>85362000</t>
        </is>
      </c>
      <c r="Y99" t="inlineStr">
        <is>
          <t>2.5x1.5x3.25</t>
        </is>
      </c>
      <c r="Z99" t="inlineStr">
        <is>
          <t>Exact PN match in item catalog (41A212414P14)</t>
        </is>
      </c>
      <c r="AA99" t="inlineStr">
        <is>
          <t>High</t>
        </is>
      </c>
    </row>
    <row r="100" ht="35.25" customHeight="1" s="35">
      <c r="A100" s="8" t="inlineStr">
        <is>
          <t>41A212414P15</t>
        </is>
      </c>
      <c r="B100" s="8" t="inlineStr">
        <is>
          <t>SMART DISPLAY #1 CIRCUIT BREAKER (2P, 6A)</t>
        </is>
      </c>
      <c r="C100" s="8" t="inlineStr">
        <is>
          <t>Controls (MCA, train control, er etc)</t>
        </is>
      </c>
      <c r="D100" s="8" t="inlineStr">
        <is>
          <t>Circuit Breaker</t>
        </is>
      </c>
      <c r="E100" s="11" t="n">
        <v>1</v>
      </c>
      <c r="H100" s="9" t="n">
        <v>29.53231403936616</v>
      </c>
      <c r="I100" s="9" t="n">
        <v>36.98010773774877</v>
      </c>
      <c r="J100" s="9" t="n">
        <v>36.98010773774877</v>
      </c>
      <c r="K100" s="10" t="n">
        <v>152.3867404431294</v>
      </c>
      <c r="L100" s="10" t="n">
        <v>190.8173559267836</v>
      </c>
      <c r="M100" s="10" t="n">
        <v>152.3867404431294</v>
      </c>
      <c r="O100" s="8" t="inlineStr">
        <is>
          <t>PAC (Brazil BRL)</t>
        </is>
      </c>
      <c r="P100" s="8" t="inlineStr">
        <is>
          <t>Brazilian factory PAC price (local Brazilian cost)</t>
        </is>
      </c>
      <c r="R100" t="inlineStr">
        <is>
          <t>Breaker</t>
        </is>
      </c>
      <c r="S100" t="inlineStr">
        <is>
          <t>Already nationalized (PAC)</t>
        </is>
      </c>
      <c r="T100" s="3" t="n">
        <v>192.0645378838769</v>
      </c>
      <c r="U100" s="3" t="n">
        <v>190.8173559267836</v>
      </c>
      <c r="V100" t="inlineStr">
        <is>
          <t>PAC/National is cheaper (by R$ 1.25)</t>
        </is>
      </c>
      <c r="W100" t="n">
        <v>0.2</v>
      </c>
      <c r="X100" t="inlineStr">
        <is>
          <t>85362000</t>
        </is>
      </c>
      <c r="Y100" t="inlineStr">
        <is>
          <t>2.5x1.5x2.5</t>
        </is>
      </c>
      <c r="Z100" t="inlineStr">
        <is>
          <t>Exact PN match in item catalog (41A212414P15)</t>
        </is>
      </c>
      <c r="AA100" t="inlineStr">
        <is>
          <t>High</t>
        </is>
      </c>
    </row>
    <row r="101" ht="35.25" customHeight="1" s="35">
      <c r="A101" s="8" t="inlineStr">
        <is>
          <t>41A212414P5</t>
        </is>
      </c>
      <c r="B101" s="8" t="inlineStr">
        <is>
          <t>CABINET FANS BREAKER (2P, 5A) CBCB</t>
        </is>
      </c>
      <c r="C101" s="8" t="inlineStr">
        <is>
          <t>Controls (MCA, train control, er etc)</t>
        </is>
      </c>
      <c r="D101" s="8" t="inlineStr">
        <is>
          <t>Circuit Breaker</t>
        </is>
      </c>
      <c r="E101" s="11" t="n">
        <v>1</v>
      </c>
      <c r="H101" s="9" t="n">
        <v>29.40411733743017</v>
      </c>
      <c r="I101" s="9" t="n">
        <v>36.81958093842997</v>
      </c>
      <c r="J101" s="9" t="n">
        <v>36.81958093842997</v>
      </c>
      <c r="K101" s="10" t="n">
        <v>151.7252454611397</v>
      </c>
      <c r="L101" s="10" t="n">
        <v>189.9890376422986</v>
      </c>
      <c r="M101" s="10" t="n">
        <v>151.7252454611397</v>
      </c>
      <c r="O101" s="8" t="inlineStr">
        <is>
          <t>PAC (Brazil BRL)</t>
        </is>
      </c>
      <c r="P101" s="8" t="inlineStr">
        <is>
          <t>Brazilian factory PAC price (local Brazilian cost)</t>
        </is>
      </c>
      <c r="R101" t="inlineStr">
        <is>
          <t>Breaker</t>
        </is>
      </c>
      <c r="S101" t="inlineStr">
        <is>
          <t>Already nationalized (PAC)</t>
        </is>
      </c>
      <c r="T101" s="3" t="n">
        <v>224.95466542394</v>
      </c>
      <c r="U101" s="3" t="n">
        <v>189.9890376422986</v>
      </c>
      <c r="V101" t="inlineStr">
        <is>
          <t>PAC/National is cheaper (by R$ 34.97)</t>
        </is>
      </c>
      <c r="W101" t="n">
        <v>0.191</v>
      </c>
      <c r="X101" t="inlineStr">
        <is>
          <t>85362000</t>
        </is>
      </c>
      <c r="Y101" t="inlineStr">
        <is>
          <t>2.5x1.5x3</t>
        </is>
      </c>
      <c r="Z101" t="inlineStr">
        <is>
          <t>Exact PN match in item catalog (41A212414P5)</t>
        </is>
      </c>
      <c r="AA101" t="inlineStr">
        <is>
          <t>High</t>
        </is>
      </c>
    </row>
    <row r="102" ht="35.25" customHeight="1" s="35">
      <c r="A102" s="8" t="inlineStr">
        <is>
          <t>41A212414P4</t>
        </is>
      </c>
      <c r="B102" s="8" t="inlineStr">
        <is>
          <t>DC/DC #1 TL13 Side (1P, 10A)</t>
        </is>
      </c>
      <c r="C102" s="8" t="inlineStr">
        <is>
          <t>Controls (MCA, train control, er etc)</t>
        </is>
      </c>
      <c r="D102" s="8" t="inlineStr">
        <is>
          <t>Circuit Breaker</t>
        </is>
      </c>
      <c r="E102" s="11" t="n">
        <v>1</v>
      </c>
      <c r="H102" s="9" t="n">
        <v>28.96111199312044</v>
      </c>
      <c r="I102" s="9" t="n">
        <v>36.2648534849993</v>
      </c>
      <c r="J102" s="9" t="n">
        <v>36.2648534849993</v>
      </c>
      <c r="K102" s="10" t="n">
        <v>149.4393378845015</v>
      </c>
      <c r="L102" s="10" t="n">
        <v>187.1266439825964</v>
      </c>
      <c r="M102" s="10" t="n">
        <v>149.4393378845015</v>
      </c>
      <c r="O102" s="8" t="inlineStr">
        <is>
          <t>PAC (Brazil BRL)</t>
        </is>
      </c>
      <c r="P102" s="8" t="inlineStr">
        <is>
          <t>Brazilian factory PAC price (local Brazilian cost)</t>
        </is>
      </c>
      <c r="W102" t="n">
        <v>0.212</v>
      </c>
      <c r="X102" t="inlineStr">
        <is>
          <t>85362000</t>
        </is>
      </c>
      <c r="Y102" t="inlineStr">
        <is>
          <t>2.5x1.5x3.25</t>
        </is>
      </c>
      <c r="Z102" t="inlineStr">
        <is>
          <t>Exact PN match in item catalog (41A212414P4)</t>
        </is>
      </c>
      <c r="AA102" t="inlineStr">
        <is>
          <t>High</t>
        </is>
      </c>
    </row>
    <row r="103" ht="35.25" customHeight="1" s="35">
      <c r="A103" s="8" t="inlineStr">
        <is>
          <t>41A212414P2</t>
        </is>
      </c>
      <c r="B103" s="8" t="inlineStr">
        <is>
          <t>LIGHTING CIRCUIT BREAKER (2P, 30A)</t>
        </is>
      </c>
      <c r="C103" s="8" t="inlineStr">
        <is>
          <t>Controls (MCA, train control, er etc)</t>
        </is>
      </c>
      <c r="D103" s="8" t="inlineStr">
        <is>
          <t>Circuit Breaker</t>
        </is>
      </c>
      <c r="E103" s="11" t="n">
        <v>1</v>
      </c>
      <c r="H103" s="9" t="n">
        <v>28.82660173540957</v>
      </c>
      <c r="I103" s="9" t="n">
        <v>36.09642090584719</v>
      </c>
      <c r="J103" s="9" t="n">
        <v>36.09642090584719</v>
      </c>
      <c r="K103" s="10" t="n">
        <v>148.7452649547134</v>
      </c>
      <c r="L103" s="10" t="n">
        <v>186.2575318741715</v>
      </c>
      <c r="M103" s="10" t="n">
        <v>148.7452649547134</v>
      </c>
      <c r="O103" s="8" t="inlineStr">
        <is>
          <t>PAC (Brazil BRL)</t>
        </is>
      </c>
      <c r="P103" s="8" t="inlineStr">
        <is>
          <t>Brazilian factory PAC price (local Brazilian cost)</t>
        </is>
      </c>
      <c r="R103" t="inlineStr">
        <is>
          <t>Breaker</t>
        </is>
      </c>
      <c r="S103" t="inlineStr">
        <is>
          <t>Already nationalized (PAC)</t>
        </is>
      </c>
      <c r="T103" s="3" t="n">
        <v>217.1695179936174</v>
      </c>
      <c r="U103" s="3" t="n">
        <v>186.2575318741715</v>
      </c>
      <c r="V103" t="inlineStr">
        <is>
          <t>PAC/National is cheaper (by R$ 30.91)</t>
        </is>
      </c>
      <c r="W103" t="n">
        <v>0.188</v>
      </c>
      <c r="X103" t="inlineStr">
        <is>
          <t>85362000</t>
        </is>
      </c>
      <c r="Y103" t="inlineStr">
        <is>
          <t>3.1x1.45x2.5</t>
        </is>
      </c>
      <c r="Z103" t="inlineStr">
        <is>
          <t>Exact PN match in item catalog (41A212414P2)</t>
        </is>
      </c>
      <c r="AA103" t="inlineStr">
        <is>
          <t>High</t>
        </is>
      </c>
    </row>
    <row r="104" ht="35.25" customHeight="1" s="35">
      <c r="A104" s="8" t="inlineStr">
        <is>
          <t>41A212414P8</t>
        </is>
      </c>
      <c r="B104" s="8" t="inlineStr">
        <is>
          <t>MULTI-TASK CIRCUIT BREAKER (2P, 25A)</t>
        </is>
      </c>
      <c r="C104" s="8" t="inlineStr">
        <is>
          <t>Controls (MCA, train control, er etc)</t>
        </is>
      </c>
      <c r="D104" s="8" t="inlineStr">
        <is>
          <t>Circuit Breaker</t>
        </is>
      </c>
      <c r="E104" s="11" t="n">
        <v>1</v>
      </c>
      <c r="H104" s="9" t="n">
        <v>27.7916093252924</v>
      </c>
      <c r="I104" s="9" t="n">
        <v>34.80041237827748</v>
      </c>
      <c r="J104" s="9" t="n">
        <v>34.80041237827748</v>
      </c>
      <c r="K104" s="10" t="n">
        <v>143.4047041185088</v>
      </c>
      <c r="L104" s="10" t="n">
        <v>179.5701278719118</v>
      </c>
      <c r="M104" s="10" t="n">
        <v>143.4047041185088</v>
      </c>
      <c r="O104" s="8" t="inlineStr">
        <is>
          <t>PAC (Brazil BRL)</t>
        </is>
      </c>
      <c r="P104" s="8" t="inlineStr">
        <is>
          <t>Calculated with TP (17.2%) + International Freight (15%) + Import Duty (16%) + Domestic Freight (3%) | Qtd=25.0</t>
        </is>
      </c>
      <c r="R104" t="inlineStr">
        <is>
          <t>Breaker</t>
        </is>
      </c>
      <c r="S104" t="inlineStr">
        <is>
          <t>Already nationalized (PAC)</t>
        </is>
      </c>
      <c r="T104" s="3" t="n">
        <v>186.2952051669542</v>
      </c>
      <c r="U104" s="3" t="n">
        <v>179.5701278719118</v>
      </c>
      <c r="V104" t="inlineStr">
        <is>
          <t>PAC/National is cheaper (by R$ 6.73)</t>
        </is>
      </c>
      <c r="W104" t="n">
        <v>0.196</v>
      </c>
      <c r="X104" t="inlineStr">
        <is>
          <t>85362000</t>
        </is>
      </c>
      <c r="Y104" t="inlineStr">
        <is>
          <t>3x1.5x2.5</t>
        </is>
      </c>
      <c r="Z104" t="inlineStr">
        <is>
          <t>Exact PN match in item catalog (41A212414P8)</t>
        </is>
      </c>
      <c r="AA104" t="inlineStr">
        <is>
          <t>High</t>
        </is>
      </c>
    </row>
    <row r="105" ht="35.25" customHeight="1" s="35">
      <c r="A105" s="8" t="inlineStr">
        <is>
          <t>41A296326AUP1</t>
        </is>
      </c>
      <c r="B105" s="8" t="inlineStr">
        <is>
          <t>LOGIC POWER SUPPLY CONN (62 PIN)</t>
        </is>
      </c>
      <c r="C105" s="8" t="inlineStr">
        <is>
          <t>Controls (MCA, train control, er etc)</t>
        </is>
      </c>
      <c r="D105" s="8" t="inlineStr">
        <is>
          <t>Wiring</t>
        </is>
      </c>
      <c r="E105" s="11" t="n">
        <v>1</v>
      </c>
      <c r="H105" s="9" t="n">
        <v>26.53791348069886</v>
      </c>
      <c r="I105" s="9" t="n">
        <v>33.23054530515761</v>
      </c>
      <c r="J105" s="9" t="n">
        <v>33.23054530515761</v>
      </c>
      <c r="K105" s="10" t="n">
        <v>136.9356335604061</v>
      </c>
      <c r="L105" s="10" t="n">
        <v>171.4696137746133</v>
      </c>
      <c r="M105" s="10" t="n">
        <v>136.9356335604061</v>
      </c>
      <c r="O105" s="8" t="inlineStr">
        <is>
          <t>PAC (Brazil BRL)</t>
        </is>
      </c>
      <c r="P105" s="8" t="inlineStr">
        <is>
          <t>Brazilian factory PAC price (local Brazilian cost)</t>
        </is>
      </c>
      <c r="W105" t="n">
        <v>0.145</v>
      </c>
      <c r="X105" t="inlineStr">
        <is>
          <t>85369090</t>
        </is>
      </c>
      <c r="Y105" t="inlineStr">
        <is>
          <t>6.375x6.375x1.5</t>
        </is>
      </c>
      <c r="Z105" t="inlineStr">
        <is>
          <t>Exact PN match in item catalog (41A296326AUP1)</t>
        </is>
      </c>
      <c r="AA105" t="inlineStr">
        <is>
          <t>High</t>
        </is>
      </c>
    </row>
    <row r="106" ht="35.25" customHeight="1" s="35">
      <c r="A106" s="8" t="inlineStr">
        <is>
          <t>41A268255P4</t>
        </is>
      </c>
      <c r="B106" s="8" t="inlineStr">
        <is>
          <t>DIAGNOSTIC ACCESS SWITCH</t>
        </is>
      </c>
      <c r="C106" s="8" t="inlineStr">
        <is>
          <t>Controls (MCA, train control, er etc)</t>
        </is>
      </c>
      <c r="D106" s="8" t="inlineStr">
        <is>
          <t>TRAIN CONTROL</t>
        </is>
      </c>
      <c r="E106" s="11" t="n">
        <v>1</v>
      </c>
      <c r="H106" s="9" t="n">
        <v>24.50462499209128</v>
      </c>
      <c r="I106" s="9" t="n">
        <v>30.68447907850148</v>
      </c>
      <c r="J106" s="9" t="n">
        <v>30.68447907850148</v>
      </c>
      <c r="K106" s="10" t="n">
        <v>126.443864959191</v>
      </c>
      <c r="L106" s="10" t="n">
        <v>158.3319120450676</v>
      </c>
      <c r="M106" s="10" t="n">
        <v>126.443864959191</v>
      </c>
      <c r="O106" s="8" t="inlineStr">
        <is>
          <t>PAC (Brazil BRL)</t>
        </is>
      </c>
      <c r="P106" s="8" t="inlineStr">
        <is>
          <t>Brazilian factory PAC price (local Brazilian cost)</t>
        </is>
      </c>
      <c r="W106" t="n">
        <v>0.054</v>
      </c>
      <c r="X106" t="inlineStr">
        <is>
          <t>85365090</t>
        </is>
      </c>
      <c r="Y106" t="inlineStr">
        <is>
          <t>3.05x2.2x4.7</t>
        </is>
      </c>
      <c r="Z106" t="inlineStr">
        <is>
          <t>Exact PN match in item catalog (41A268255P4)</t>
        </is>
      </c>
      <c r="AA106" t="inlineStr">
        <is>
          <t>High</t>
        </is>
      </c>
    </row>
    <row r="107" ht="35.25" customHeight="1" s="35">
      <c r="A107" s="8" t="inlineStr">
        <is>
          <t>41A250095G10</t>
        </is>
      </c>
      <c r="B107" s="8" t="inlineStr">
        <is>
          <t>TERMINAL BOARD (20 POINT)</t>
        </is>
      </c>
      <c r="C107" s="8" t="inlineStr">
        <is>
          <t>Controls (MCA, train control, er etc)</t>
        </is>
      </c>
      <c r="D107" s="8" t="inlineStr">
        <is>
          <t>TRAIN CONTROL</t>
        </is>
      </c>
      <c r="E107" s="11" t="n">
        <v>1</v>
      </c>
      <c r="H107" s="9" t="n">
        <v>24.27524347424056</v>
      </c>
      <c r="I107" s="9" t="n">
        <v>30.39724952947729</v>
      </c>
      <c r="J107" s="9" t="n">
        <v>30.39724952947729</v>
      </c>
      <c r="K107" s="10" t="n">
        <v>125.2602563270813</v>
      </c>
      <c r="L107" s="10" t="n">
        <v>156.8498075721028</v>
      </c>
      <c r="M107" s="10" t="n">
        <v>125.2602563270813</v>
      </c>
      <c r="O107" s="8" t="inlineStr">
        <is>
          <t>PAC (Brazil BRL)</t>
        </is>
      </c>
      <c r="P107" s="8" t="inlineStr">
        <is>
          <t>Brazilian factory PAC price (local Brazilian cost)</t>
        </is>
      </c>
      <c r="R107" t="inlineStr">
        <is>
          <t>Connector/Plug</t>
        </is>
      </c>
      <c r="S107" t="inlineStr">
        <is>
          <t>Already nationalized (PAC)</t>
        </is>
      </c>
      <c r="T107" s="3" t="n">
        <v>189.1552162573945</v>
      </c>
      <c r="U107" s="3" t="n">
        <v>156.8498075721028</v>
      </c>
      <c r="V107" t="inlineStr">
        <is>
          <t>PAC/National is cheaper (by R$ 32.31)</t>
        </is>
      </c>
      <c r="W107" t="n">
        <v>0.281</v>
      </c>
      <c r="X107" t="inlineStr">
        <is>
          <t>85369090</t>
        </is>
      </c>
      <c r="Y107" t="inlineStr">
        <is>
          <t>12.75x3.375x2.75</t>
        </is>
      </c>
      <c r="Z107" t="inlineStr">
        <is>
          <t>Exact PN match in item catalog (41A250095G10)</t>
        </is>
      </c>
      <c r="AA107" t="inlineStr">
        <is>
          <t>High</t>
        </is>
      </c>
    </row>
    <row r="108" ht="35.25" customHeight="1" s="35">
      <c r="A108" s="8" t="inlineStr">
        <is>
          <t>41A251900G1</t>
        </is>
      </c>
      <c r="B108" s="8" t="inlineStr">
        <is>
          <t>RADIO LOCKER TERMINAL BOARD (12 POINT)</t>
        </is>
      </c>
      <c r="C108" s="8" t="inlineStr">
        <is>
          <t>Controls (MCA, train control, er etc)</t>
        </is>
      </c>
      <c r="D108" s="8" t="inlineStr">
        <is>
          <t>TRAIN CONTROL</t>
        </is>
      </c>
      <c r="E108" s="11" t="n">
        <v>1</v>
      </c>
      <c r="H108" s="9" t="n">
        <v>22.51297595661987</v>
      </c>
      <c r="I108" s="9" t="n">
        <v>28.19055341424977</v>
      </c>
      <c r="J108" s="9" t="n">
        <v>28.19055341424977</v>
      </c>
      <c r="K108" s="10" t="n">
        <v>116.1669559361585</v>
      </c>
      <c r="L108" s="10" t="n">
        <v>145.4632556175288</v>
      </c>
      <c r="M108" s="10" t="n">
        <v>116.1669559361585</v>
      </c>
      <c r="O108" s="8" t="inlineStr">
        <is>
          <t>PAC (Brazil BRL)</t>
        </is>
      </c>
      <c r="P108" s="8" t="inlineStr">
        <is>
          <t>Brazilian factory PAC price (local Brazilian cost)</t>
        </is>
      </c>
      <c r="R108" t="inlineStr">
        <is>
          <t>Connector/Plug</t>
        </is>
      </c>
      <c r="S108" t="inlineStr">
        <is>
          <t>Already nationalized (PAC)</t>
        </is>
      </c>
      <c r="T108" s="3" t="n">
        <v>159.7168262402766</v>
      </c>
      <c r="U108" s="3" t="n">
        <v>145.4632556175288</v>
      </c>
      <c r="V108" t="inlineStr">
        <is>
          <t>PAC/National is cheaper (by R$ 14.25)</t>
        </is>
      </c>
      <c r="W108" t="n">
        <v>0.186</v>
      </c>
      <c r="X108" t="inlineStr">
        <is>
          <t>85369090</t>
        </is>
      </c>
      <c r="Y108" t="inlineStr">
        <is>
          <t>8.125x1.625x2</t>
        </is>
      </c>
      <c r="Z108" t="inlineStr">
        <is>
          <t>Exact PN match in item catalog (41A251900G1)</t>
        </is>
      </c>
      <c r="AA108" t="inlineStr">
        <is>
          <t>High</t>
        </is>
      </c>
    </row>
    <row r="109" ht="35.25" customHeight="1" s="35">
      <c r="A109" s="8" t="inlineStr">
        <is>
          <t>5373-219</t>
        </is>
      </c>
      <c r="B109" s="8" t="inlineStr">
        <is>
          <t>CONNECTOR, ELECTRICAL</t>
        </is>
      </c>
      <c r="C109" s="8" t="inlineStr">
        <is>
          <t>Controls (MCA, train control, er etc)</t>
        </is>
      </c>
      <c r="D109" s="8" t="inlineStr">
        <is>
          <t>Wiring</t>
        </is>
      </c>
      <c r="E109" s="11" t="n">
        <v>1</v>
      </c>
      <c r="F109" s="9" t="n">
        <v>13.66</v>
      </c>
      <c r="H109" s="9" t="n">
        <v>21.9974006704</v>
      </c>
      <c r="I109" s="9" t="n">
        <v>27.54495450838969</v>
      </c>
      <c r="J109" s="9" t="n">
        <v>27.54495450838969</v>
      </c>
      <c r="K109" s="10" t="n">
        <v>113.506587459264</v>
      </c>
      <c r="L109" s="10" t="n">
        <v>142.1319652632908</v>
      </c>
      <c r="O109" s="8" t="inlineStr">
        <is>
          <t>Imported BOM (USA)</t>
        </is>
      </c>
      <c r="P109" s="8" t="inlineStr">
        <is>
          <t>Brazilian factory PAC price (local Brazilian cost)</t>
        </is>
      </c>
      <c r="R109" t="inlineStr">
        <is>
          <t>Connector/Plug</t>
        </is>
      </c>
      <c r="S109" t="inlineStr">
        <is>
          <t>Low confidence - PAC price range too wide (R$118-2,748)</t>
        </is>
      </c>
      <c r="T109" s="3" t="n">
        <v>142.1319652632908</v>
      </c>
      <c r="U109" s="3" t="n">
        <v>574.7190868112949</v>
      </c>
      <c r="V109" t="inlineStr">
        <is>
          <t>Import is cheaper (by R$ 432.59)</t>
        </is>
      </c>
    </row>
    <row r="110" ht="35.25" customHeight="1" s="35">
      <c r="A110" s="8" t="inlineStr">
        <is>
          <t>41A305772P1</t>
        </is>
      </c>
      <c r="B110" s="8" t="inlineStr">
        <is>
          <t>WORK LIGHT - SWITCH - #1 END (LIGHTING BREAKER)</t>
        </is>
      </c>
      <c r="C110" s="8" t="inlineStr">
        <is>
          <t>Power</t>
        </is>
      </c>
      <c r="D110" s="8" t="inlineStr">
        <is>
          <t>Circuit Breaker</t>
        </is>
      </c>
      <c r="E110" s="11" t="n">
        <v>1</v>
      </c>
      <c r="H110" s="9" t="n">
        <v>20.95177738950445</v>
      </c>
      <c r="I110" s="9" t="n">
        <v>26.23563409654953</v>
      </c>
      <c r="J110" s="9" t="n">
        <v>26.23563409654953</v>
      </c>
      <c r="K110" s="10" t="n">
        <v>108.111171329843</v>
      </c>
      <c r="L110" s="10" t="n">
        <v>135.3758719381956</v>
      </c>
      <c r="M110" s="10" t="n">
        <v>108.111171329843</v>
      </c>
      <c r="O110" s="8" t="inlineStr">
        <is>
          <t>PAC (Brazil BRL)</t>
        </is>
      </c>
      <c r="P110" s="8" t="inlineStr">
        <is>
          <t>Brazilian factory PAC price (local Brazilian cost)</t>
        </is>
      </c>
      <c r="R110" t="inlineStr">
        <is>
          <t>Breaker</t>
        </is>
      </c>
      <c r="S110" t="inlineStr">
        <is>
          <t>Already nationalized (PAC)</t>
        </is>
      </c>
      <c r="T110" s="3" t="n">
        <v>122.2546257983923</v>
      </c>
      <c r="U110" s="3" t="n">
        <v>135.3758719381956</v>
      </c>
      <c r="V110" t="inlineStr">
        <is>
          <t>Import is cheaper (by R$ 13.12)</t>
        </is>
      </c>
      <c r="W110" t="n">
        <v>0.023</v>
      </c>
      <c r="X110" t="inlineStr">
        <is>
          <t>85365090</t>
        </is>
      </c>
      <c r="Y110" t="inlineStr">
        <is>
          <t>1.7x0.95x1.75</t>
        </is>
      </c>
      <c r="Z110" t="inlineStr">
        <is>
          <t>Exact PN match in item catalog (41A305772P1)</t>
        </is>
      </c>
      <c r="AA110" t="inlineStr">
        <is>
          <t>High</t>
        </is>
      </c>
    </row>
    <row r="111" ht="35.25" customHeight="1" s="35">
      <c r="A111" s="8" t="inlineStr">
        <is>
          <t>497A911P1</t>
        </is>
      </c>
      <c r="B111" s="8" t="inlineStr">
        <is>
          <t>STEP LIGHT SWITCH</t>
        </is>
      </c>
      <c r="C111" s="8" t="inlineStr">
        <is>
          <t>Controls (MCA, train control, er etc)</t>
        </is>
      </c>
      <c r="D111" s="8" t="inlineStr">
        <is>
          <t>TRAIN CONTROL</t>
        </is>
      </c>
      <c r="E111" s="11" t="n">
        <v>1</v>
      </c>
      <c r="H111" s="9" t="n">
        <v>19.22711567620054</v>
      </c>
      <c r="I111" s="9" t="n">
        <v>24.07602764362703</v>
      </c>
      <c r="J111" s="9" t="n">
        <v>24.07602764362703</v>
      </c>
      <c r="K111" s="10" t="n">
        <v>99.2119168891948</v>
      </c>
      <c r="L111" s="10" t="n">
        <v>124.2323026411155</v>
      </c>
      <c r="M111" s="10" t="n">
        <v>99.2119168891948</v>
      </c>
      <c r="O111" s="8" t="inlineStr">
        <is>
          <t>PAC (Brazil BRL)</t>
        </is>
      </c>
      <c r="P111" s="8" t="inlineStr">
        <is>
          <t>Brazilian factory PAC price (local Brazilian cost)</t>
        </is>
      </c>
      <c r="W111" t="n">
        <v>0.051</v>
      </c>
      <c r="X111" t="inlineStr">
        <is>
          <t>85365090</t>
        </is>
      </c>
      <c r="Y111" t="inlineStr">
        <is>
          <t>2x1x2</t>
        </is>
      </c>
      <c r="Z111" t="inlineStr">
        <is>
          <t>Exact PN match in item catalog (497A911P1)</t>
        </is>
      </c>
      <c r="AA111" t="inlineStr">
        <is>
          <t>High</t>
        </is>
      </c>
    </row>
    <row r="112" ht="35.25" customHeight="1" s="35">
      <c r="A112" s="8" t="inlineStr">
        <is>
          <t>499A906AAP12</t>
        </is>
      </c>
      <c r="B112" s="8" t="inlineStr">
        <is>
          <t>NUT, HEX, NYLOCK, 8-32, GR5, Z</t>
        </is>
      </c>
      <c r="C112" s="8" t="inlineStr">
        <is>
          <t>SKID Assembly</t>
        </is>
      </c>
      <c r="D112" s="8" t="inlineStr">
        <is>
          <t>SKID (Skid)</t>
        </is>
      </c>
      <c r="E112" s="11" t="n">
        <v>14</v>
      </c>
      <c r="H112" s="9" t="n">
        <v>15.75586905029251</v>
      </c>
      <c r="I112" s="9" t="n">
        <v>1.409240192684744</v>
      </c>
      <c r="J112" s="9" t="n">
        <v>19.72936269758641</v>
      </c>
      <c r="K112" s="10" t="n">
        <v>81.30028429950934</v>
      </c>
      <c r="L112" s="10" t="n">
        <v>101.8035115195459</v>
      </c>
      <c r="M112" s="10" t="n">
        <v>5.807163164250667</v>
      </c>
      <c r="O112" s="8" t="inlineStr">
        <is>
          <t>PAC (Brazil BRL)</t>
        </is>
      </c>
      <c r="P112" s="8" t="inlineStr">
        <is>
          <t>Calculated with TP (17.2%) + International Freight (15%) + Import Duty (16%) + Domestic Freight (3%) | Qtd=1.0</t>
        </is>
      </c>
      <c r="W112" t="n">
        <v>0.002</v>
      </c>
      <c r="X112" t="inlineStr">
        <is>
          <t>73181600</t>
        </is>
      </c>
      <c r="Y112" t="inlineStr">
        <is>
          <t>0.125x0.125x0.25</t>
        </is>
      </c>
      <c r="Z112" t="inlineStr">
        <is>
          <t>Exact PN match in item catalog (499A906AAP12)</t>
        </is>
      </c>
      <c r="AA112" t="inlineStr">
        <is>
          <t>High</t>
        </is>
      </c>
    </row>
    <row r="113" ht="35.25" customHeight="1" s="35">
      <c r="A113" s="8" t="inlineStr">
        <is>
          <t>84B519079G1</t>
        </is>
      </c>
      <c r="B113" s="8" t="inlineStr">
        <is>
          <t>MAIN RESERVOIR PRESSURE SENSOR
CONNECTOR</t>
        </is>
      </c>
      <c r="C113" s="8" t="inlineStr">
        <is>
          <t>Controls (MCA, train control, er etc)</t>
        </is>
      </c>
      <c r="D113" s="8" t="inlineStr">
        <is>
          <t>MCA</t>
        </is>
      </c>
      <c r="E113" s="11" t="n">
        <v>1</v>
      </c>
      <c r="H113" s="9" t="n">
        <v>14.27112448752062</v>
      </c>
      <c r="I113" s="9" t="n">
        <v>17.87017842163865</v>
      </c>
      <c r="J113" s="9" t="n">
        <v>17.87017842163865</v>
      </c>
      <c r="K113" s="10" t="n">
        <v>73.63900235560642</v>
      </c>
      <c r="L113" s="10" t="n">
        <v>92.21012065565543</v>
      </c>
      <c r="M113" s="10" t="n">
        <v>73.63900235560642</v>
      </c>
      <c r="O113" s="8" t="inlineStr">
        <is>
          <t>PAC (Brazil BRL)</t>
        </is>
      </c>
      <c r="P113" s="8" t="inlineStr">
        <is>
          <t>Brazilian factory PAC price (local Brazilian cost)</t>
        </is>
      </c>
      <c r="R113" t="inlineStr">
        <is>
          <t>Connector/Plug</t>
        </is>
      </c>
      <c r="S113" t="inlineStr">
        <is>
          <t>Already nationalized (PAC)</t>
        </is>
      </c>
      <c r="T113" s="3" t="n">
        <v>117.404441473294</v>
      </c>
      <c r="U113" s="3" t="n">
        <v>92.21012065565543</v>
      </c>
      <c r="V113" t="inlineStr">
        <is>
          <t>PAC/National is cheaper (by R$ 25.19)</t>
        </is>
      </c>
      <c r="W113" t="n">
        <v>0.136</v>
      </c>
      <c r="X113" t="inlineStr">
        <is>
          <t>85369090</t>
        </is>
      </c>
      <c r="Y113" t="inlineStr">
        <is>
          <t>4.5x1.48x1.48</t>
        </is>
      </c>
      <c r="Z113" t="inlineStr">
        <is>
          <t>Exact PN match in item catalog (84B519079G1)</t>
        </is>
      </c>
      <c r="AA113" t="inlineStr">
        <is>
          <t>High</t>
        </is>
      </c>
    </row>
    <row r="114" ht="35.25" customHeight="1" s="35">
      <c r="A114" s="8" t="inlineStr">
        <is>
          <t>41A212414P39</t>
        </is>
      </c>
      <c r="B114" s="8" t="inlineStr">
        <is>
          <t>CONTROL SWITCH CIRCUIT BREAKER (1P, 30A)</t>
        </is>
      </c>
      <c r="C114" s="8" t="inlineStr">
        <is>
          <t>Controls (MCA, train control, er etc)</t>
        </is>
      </c>
      <c r="D114" s="8" t="inlineStr">
        <is>
          <t>Circuit Breaker</t>
        </is>
      </c>
      <c r="E114" s="11" t="n">
        <v>1</v>
      </c>
      <c r="H114" s="9" t="n">
        <v>13.86158490334363</v>
      </c>
      <c r="I114" s="9" t="n">
        <v>17.3573565030599</v>
      </c>
      <c r="J114" s="9" t="n">
        <v>17.3573565030599</v>
      </c>
      <c r="K114" s="10" t="n">
        <v>71.52577810125315</v>
      </c>
      <c r="L114" s="10" t="n">
        <v>89.56395955578907</v>
      </c>
      <c r="M114" s="10" t="n">
        <v>71.52577810125315</v>
      </c>
      <c r="O114" s="8" t="inlineStr">
        <is>
          <t>PAC (Brazil BRL)</t>
        </is>
      </c>
      <c r="P114" s="8" t="inlineStr">
        <is>
          <t>Brazilian factory PAC price (local Brazilian cost)</t>
        </is>
      </c>
      <c r="R114" t="inlineStr">
        <is>
          <t>Breaker</t>
        </is>
      </c>
      <c r="S114" t="inlineStr">
        <is>
          <t>Already nationalized (PAC)</t>
        </is>
      </c>
      <c r="T114" s="3" t="n">
        <v>92.90104990326674</v>
      </c>
      <c r="U114" s="3" t="n">
        <v>89.56395955578907</v>
      </c>
      <c r="V114" t="inlineStr">
        <is>
          <t>PAC/National is cheaper (by R$ 3.34)</t>
        </is>
      </c>
      <c r="W114" t="n">
        <v>0.113</v>
      </c>
      <c r="X114" t="inlineStr">
        <is>
          <t>85362000</t>
        </is>
      </c>
      <c r="Y114" t="inlineStr">
        <is>
          <t>3.05x0.7x2.45</t>
        </is>
      </c>
      <c r="Z114" t="inlineStr">
        <is>
          <t>Exact PN match in item catalog (41A212414P39)</t>
        </is>
      </c>
      <c r="AA114" t="inlineStr">
        <is>
          <t>High</t>
        </is>
      </c>
    </row>
    <row r="115" ht="35.25" customHeight="1" s="35">
      <c r="A115" s="8" t="inlineStr">
        <is>
          <t>41A296328AAP5</t>
        </is>
      </c>
      <c r="B115" s="8" t="inlineStr">
        <is>
          <t>SENSOR, THERMISTOR TEMPERATURE PROBE</t>
        </is>
      </c>
      <c r="C115" s="8" t="inlineStr">
        <is>
          <t>Controls (MCA, train control, er etc)</t>
        </is>
      </c>
      <c r="D115" s="8" t="inlineStr">
        <is>
          <t>MCA</t>
        </is>
      </c>
      <c r="E115" s="11" t="n">
        <v>1</v>
      </c>
      <c r="H115" s="9" t="n">
        <v>13.46407768580174</v>
      </c>
      <c r="I115" s="9" t="n">
        <v>16.85960140971919</v>
      </c>
      <c r="J115" s="9" t="n">
        <v>16.85960140971919</v>
      </c>
      <c r="K115" s="10" t="n">
        <v>69.474640858737</v>
      </c>
      <c r="L115" s="10" t="n">
        <v>86.99554327415103</v>
      </c>
      <c r="M115" s="10" t="n">
        <v>69.474640858737</v>
      </c>
      <c r="O115" s="8" t="inlineStr">
        <is>
          <t>PAC (Brazil BRL)</t>
        </is>
      </c>
      <c r="P115" s="8" t="inlineStr">
        <is>
          <t>Brazilian factory PAC price (local Brazilian cost)</t>
        </is>
      </c>
      <c r="W115" t="n">
        <v>0.023</v>
      </c>
      <c r="X115" t="inlineStr">
        <is>
          <t>90251990</t>
        </is>
      </c>
      <c r="Y115" t="inlineStr">
        <is>
          <t>2.5x1x1</t>
        </is>
      </c>
      <c r="Z115" t="inlineStr">
        <is>
          <t>Exact PN match in item catalog (41A296328AAP5)</t>
        </is>
      </c>
      <c r="AA115" t="inlineStr">
        <is>
          <t>High</t>
        </is>
      </c>
    </row>
    <row r="116" ht="35.25" customHeight="1" s="35">
      <c r="A116" s="8" t="inlineStr">
        <is>
          <t>41A216641AMP109</t>
        </is>
      </c>
      <c r="B116" s="8" t="inlineStr">
        <is>
          <t>Contact</t>
        </is>
      </c>
      <c r="C116" s="8" t="inlineStr">
        <is>
          <t>Controls (MCA, train control, er etc)</t>
        </is>
      </c>
      <c r="D116" s="8" t="inlineStr">
        <is>
          <t>Wiring</t>
        </is>
      </c>
      <c r="E116" s="11" t="n">
        <v>12</v>
      </c>
      <c r="H116" s="9" t="n">
        <v>12.72258572674419</v>
      </c>
      <c r="I116" s="9" t="n">
        <v>1.327592633644731</v>
      </c>
      <c r="J116" s="9" t="n">
        <v>15.93111160373677</v>
      </c>
      <c r="K116" s="10" t="n">
        <v>65.64854235</v>
      </c>
      <c r="L116" s="10" t="n">
        <v>82.20453587528175</v>
      </c>
      <c r="M116" s="10" t="n">
        <v>5.4707118625</v>
      </c>
      <c r="O116" s="8" t="inlineStr">
        <is>
          <t>PAC (Brazil BRL)</t>
        </is>
      </c>
      <c r="P116" s="8" t="inlineStr">
        <is>
          <t>Brazilian factory PAC price (local Brazilian cost)</t>
        </is>
      </c>
      <c r="R116" t="inlineStr">
        <is>
          <t>Connector/Plug</t>
        </is>
      </c>
      <c r="S116" t="inlineStr">
        <is>
          <t>Already nationalized (PAC)</t>
        </is>
      </c>
      <c r="T116" s="3" t="n">
        <v>89.69389263909028</v>
      </c>
      <c r="U116" s="3" t="n">
        <v>82.20453587528175</v>
      </c>
      <c r="V116" t="inlineStr">
        <is>
          <t>PAC/National is cheaper (by R$ 7.49)</t>
        </is>
      </c>
      <c r="W116" t="n">
        <v>0</v>
      </c>
      <c r="X116" t="inlineStr">
        <is>
          <t>85364900</t>
        </is>
      </c>
      <c r="Y116" t="inlineStr">
        <is>
          <t>1x0.001x0.001</t>
        </is>
      </c>
      <c r="Z116" t="inlineStr">
        <is>
          <t>Exact PN match in item catalog (41A216641AMP109)</t>
        </is>
      </c>
      <c r="AA116" t="inlineStr">
        <is>
          <t>High</t>
        </is>
      </c>
    </row>
    <row r="117" ht="35.25" customHeight="1" s="35">
      <c r="A117" s="8" t="inlineStr">
        <is>
          <t>41A265616P52</t>
        </is>
      </c>
      <c r="B117" s="8" t="inlineStr">
        <is>
          <t>Ring Terminal</t>
        </is>
      </c>
      <c r="C117" s="8" t="inlineStr">
        <is>
          <t>Controls (MCA, train control, er etc)</t>
        </is>
      </c>
      <c r="D117" s="8" t="inlineStr">
        <is>
          <t>Wiring</t>
        </is>
      </c>
      <c r="E117" s="11" t="n">
        <v>4</v>
      </c>
      <c r="H117" s="9" t="n">
        <v>12.02038365135297</v>
      </c>
      <c r="I117" s="9" t="n">
        <v>3.762955062407016</v>
      </c>
      <c r="J117" s="9" t="n">
        <v>15.05182024962806</v>
      </c>
      <c r="K117" s="10" t="n">
        <v>62.02517964098133</v>
      </c>
      <c r="L117" s="10" t="n">
        <v>77.66739248808081</v>
      </c>
      <c r="M117" s="10" t="n">
        <v>15.50629491024533</v>
      </c>
      <c r="O117" s="8" t="inlineStr">
        <is>
          <t>PAC (Brazil BRL)</t>
        </is>
      </c>
      <c r="P117" s="8" t="inlineStr">
        <is>
          <t>Brazilian factory PAC price (local Brazilian cost)</t>
        </is>
      </c>
      <c r="R117" t="inlineStr">
        <is>
          <t>Connector/Plug</t>
        </is>
      </c>
      <c r="S117" t="inlineStr">
        <is>
          <t>Already nationalized (PAC)</t>
        </is>
      </c>
      <c r="T117" s="3" t="n">
        <v>79.72527467282467</v>
      </c>
      <c r="U117" s="3" t="n">
        <v>77.66739248808081</v>
      </c>
      <c r="V117" t="inlineStr">
        <is>
          <t>PAC/National is cheaper (by R$ 2.06)</t>
        </is>
      </c>
      <c r="W117" t="n">
        <v>0.039</v>
      </c>
      <c r="X117" t="inlineStr">
        <is>
          <t>85369090</t>
        </is>
      </c>
      <c r="Y117" t="inlineStr">
        <is>
          <t>3.75x4.15x7.5</t>
        </is>
      </c>
      <c r="Z117" t="inlineStr">
        <is>
          <t>Exact PN match in item catalog (41A265616P52)</t>
        </is>
      </c>
      <c r="AA117" t="inlineStr">
        <is>
          <t>High</t>
        </is>
      </c>
    </row>
    <row r="118" ht="35.25" customHeight="1" s="35">
      <c r="A118" s="8" t="inlineStr">
        <is>
          <t>41A271471P61</t>
        </is>
      </c>
      <c r="B118" s="8" t="inlineStr">
        <is>
          <t>TRAINLINE RESISTOR PANEL CONN</t>
        </is>
      </c>
      <c r="C118" s="8" t="inlineStr">
        <is>
          <t>Controls (MCA, train control, er etc)</t>
        </is>
      </c>
      <c r="D118" s="8" t="inlineStr">
        <is>
          <t>Wiring</t>
        </is>
      </c>
      <c r="E118" s="11" t="n">
        <v>1</v>
      </c>
      <c r="H118" s="9" t="n">
        <v>11.32834683802143</v>
      </c>
      <c r="I118" s="9" t="n">
        <v>14.18525774858681</v>
      </c>
      <c r="J118" s="9" t="n">
        <v>14.18525774858681</v>
      </c>
      <c r="K118" s="10" t="n">
        <v>58.45426968419057</v>
      </c>
      <c r="L118" s="10" t="n">
        <v>73.19592998270795</v>
      </c>
      <c r="M118" s="10" t="n">
        <v>58.45426968419057</v>
      </c>
      <c r="O118" s="8" t="inlineStr">
        <is>
          <t>PAC (Brazil BRL)</t>
        </is>
      </c>
      <c r="P118" s="8" t="inlineStr">
        <is>
          <t>Brazilian factory PAC price (local Brazilian cost)</t>
        </is>
      </c>
      <c r="W118" t="n">
        <v>0.029</v>
      </c>
      <c r="X118" t="inlineStr">
        <is>
          <t>85366990</t>
        </is>
      </c>
      <c r="Y118" t="inlineStr">
        <is>
          <t>1.75x0.375x1.75</t>
        </is>
      </c>
      <c r="Z118" t="inlineStr">
        <is>
          <t>Exact PN match in item catalog (41A271471P61)</t>
        </is>
      </c>
      <c r="AA118" t="inlineStr">
        <is>
          <t>High</t>
        </is>
      </c>
    </row>
    <row r="119" ht="35.25" customHeight="1" s="35">
      <c r="A119" s="8" t="inlineStr">
        <is>
          <t>41A271474P17</t>
        </is>
      </c>
      <c r="B119" s="8" t="inlineStr">
        <is>
          <t>AUX SHEET CONNECTOR</t>
        </is>
      </c>
      <c r="C119" s="8" t="inlineStr">
        <is>
          <t>Controls (MCA, train control, er etc)</t>
        </is>
      </c>
      <c r="D119" s="8" t="inlineStr">
        <is>
          <t>Wiring</t>
        </is>
      </c>
      <c r="E119" s="11" t="n">
        <v>1</v>
      </c>
      <c r="H119" s="9" t="n">
        <v>8.159644252368604</v>
      </c>
      <c r="I119" s="9" t="n">
        <v>10.21743582816004</v>
      </c>
      <c r="J119" s="9" t="n">
        <v>10.21743582816004</v>
      </c>
      <c r="K119" s="10" t="n">
        <v>42.103764342222</v>
      </c>
      <c r="L119" s="10" t="n">
        <v>52.72196887330579</v>
      </c>
      <c r="M119" s="10" t="n">
        <v>42.103764342222</v>
      </c>
      <c r="O119" s="8" t="inlineStr">
        <is>
          <t>PAC (Brazil BRL)</t>
        </is>
      </c>
      <c r="P119" s="8" t="inlineStr">
        <is>
          <t>Brazilian factory PAC price (local Brazilian cost)</t>
        </is>
      </c>
      <c r="R119" t="inlineStr">
        <is>
          <t>Connector/Plug</t>
        </is>
      </c>
      <c r="S119" t="inlineStr">
        <is>
          <t>Already nationalized (PAC)</t>
        </is>
      </c>
      <c r="T119" s="3" t="n">
        <v>53.94572643002858</v>
      </c>
      <c r="U119" s="3" t="n">
        <v>52.72196887330579</v>
      </c>
      <c r="V119" t="inlineStr">
        <is>
          <t>PAC/National is cheaper (by R$ 1.22)</t>
        </is>
      </c>
      <c r="W119" t="n">
        <v>0.045</v>
      </c>
      <c r="X119" t="inlineStr">
        <is>
          <t>85359090</t>
        </is>
      </c>
      <c r="Y119" t="inlineStr">
        <is>
          <t>1.55x1x1</t>
        </is>
      </c>
      <c r="Z119" t="inlineStr">
        <is>
          <t>Exact PN match in item catalog (41A271474P17)</t>
        </is>
      </c>
      <c r="AA119" t="inlineStr">
        <is>
          <t>High</t>
        </is>
      </c>
    </row>
    <row r="120" ht="35.25" customHeight="1" s="35">
      <c r="A120" s="8" t="inlineStr">
        <is>
          <t>84B514977G1</t>
        </is>
      </c>
      <c r="B120" s="8" t="inlineStr">
        <is>
          <t>CONNECTION ASM</t>
        </is>
      </c>
      <c r="C120" s="8" t="inlineStr">
        <is>
          <t>Controls (MCA, train control, er etc)</t>
        </is>
      </c>
      <c r="D120" s="8" t="inlineStr">
        <is>
          <t>MCA</t>
        </is>
      </c>
      <c r="E120" s="11" t="n">
        <v>1</v>
      </c>
      <c r="H120" s="9" t="n">
        <v>8.103187962658673</v>
      </c>
      <c r="I120" s="9" t="n">
        <v>10.14674175138827</v>
      </c>
      <c r="J120" s="9" t="n">
        <v>10.14674175138827</v>
      </c>
      <c r="K120" s="10" t="n">
        <v>41.81244988731875</v>
      </c>
      <c r="L120" s="10" t="n">
        <v>52.35718743716347</v>
      </c>
      <c r="M120" s="10" t="n">
        <v>41.81244988731875</v>
      </c>
      <c r="O120" s="8" t="inlineStr">
        <is>
          <t>PAC (Brazil BRL)</t>
        </is>
      </c>
      <c r="P120" s="8" t="inlineStr">
        <is>
          <t>Brazilian factory PAC price (local Brazilian cost)</t>
        </is>
      </c>
      <c r="W120" t="n">
        <v>0.023</v>
      </c>
      <c r="X120" t="inlineStr">
        <is>
          <t>85319000</t>
        </is>
      </c>
      <c r="Y120" t="inlineStr">
        <is>
          <t>1.25x0.75x0.75</t>
        </is>
      </c>
      <c r="Z120" t="inlineStr">
        <is>
          <t>Exact PN match in item catalog (84B514977G1)</t>
        </is>
      </c>
      <c r="AA120" t="inlineStr">
        <is>
          <t>High</t>
        </is>
      </c>
    </row>
    <row r="121" ht="35.25" customHeight="1" s="35">
      <c r="A121" s="8" t="inlineStr">
        <is>
          <t>41A271474P13</t>
        </is>
      </c>
      <c r="B121" s="8" t="inlineStr">
        <is>
          <t>AUX SHEET CONNECTOR - PIN</t>
        </is>
      </c>
      <c r="C121" s="8" t="inlineStr">
        <is>
          <t>Controls (MCA, train control, er etc)</t>
        </is>
      </c>
      <c r="D121" s="8" t="inlineStr">
        <is>
          <t>Wiring</t>
        </is>
      </c>
      <c r="E121" s="11" t="n">
        <v>1</v>
      </c>
      <c r="H121" s="9" t="n">
        <v>6.880513166666667</v>
      </c>
      <c r="I121" s="9" t="n">
        <v>8.615718966524751</v>
      </c>
      <c r="J121" s="9" t="n">
        <v>8.615718966524751</v>
      </c>
      <c r="K121" s="10" t="n">
        <v>35.50344794</v>
      </c>
      <c r="L121" s="10" t="n">
        <v>44.45710986726772</v>
      </c>
      <c r="M121" s="10" t="n">
        <v>35.50344794</v>
      </c>
      <c r="O121" s="8" t="inlineStr">
        <is>
          <t>PAC (Brazil BRL)</t>
        </is>
      </c>
      <c r="P121" s="8" t="inlineStr">
        <is>
          <t>Brazilian factory PAC price (local Brazilian cost)</t>
        </is>
      </c>
      <c r="R121" t="inlineStr">
        <is>
          <t>Connector/Plug</t>
        </is>
      </c>
      <c r="S121" t="inlineStr">
        <is>
          <t>Already nationalized (PAC)</t>
        </is>
      </c>
      <c r="T121" s="3" t="n">
        <v>48.25430436005243</v>
      </c>
      <c r="U121" s="3" t="n">
        <v>44.45710986726772</v>
      </c>
      <c r="V121" t="inlineStr">
        <is>
          <t>PAC/National is cheaper (by R$ 3.80)</t>
        </is>
      </c>
      <c r="W121" t="n">
        <v>0.041</v>
      </c>
      <c r="X121" t="inlineStr">
        <is>
          <t>85369090</t>
        </is>
      </c>
      <c r="Y121" t="inlineStr">
        <is>
          <t>2x1x1</t>
        </is>
      </c>
      <c r="Z121" t="inlineStr">
        <is>
          <t>Exact PN match in item catalog (41A271474P13)</t>
        </is>
      </c>
      <c r="AA121" t="inlineStr">
        <is>
          <t>High</t>
        </is>
      </c>
    </row>
    <row r="122" ht="35.25" customHeight="1" s="35">
      <c r="A122" s="8" t="inlineStr">
        <is>
          <t>41A271471P24</t>
        </is>
      </c>
      <c r="B122" s="8" t="inlineStr">
        <is>
          <t>AMP, Cable Clamp Kit, Thermoplastic, Black, 17 Shell Size,</t>
        </is>
      </c>
      <c r="C122" s="8" t="inlineStr">
        <is>
          <t>SKID Assembly</t>
        </is>
      </c>
      <c r="D122" s="8" t="inlineStr">
        <is>
          <t>Controls (MCA, train control, er etc)</t>
        </is>
      </c>
      <c r="E122" s="11" t="n">
        <v>2</v>
      </c>
      <c r="H122" s="9" t="n">
        <v>6.151811397840532</v>
      </c>
      <c r="I122" s="9" t="n">
        <v>3.851622462960513</v>
      </c>
      <c r="J122" s="9" t="n">
        <v>7.703244925921027</v>
      </c>
      <c r="K122" s="10" t="n">
        <v>31.74334681285714</v>
      </c>
      <c r="L122" s="10" t="n">
        <v>39.7487438177525</v>
      </c>
      <c r="M122" s="10" t="n">
        <v>15.87167340642857</v>
      </c>
      <c r="O122" s="8" t="inlineStr">
        <is>
          <t>PAC (Brazil BRL)</t>
        </is>
      </c>
      <c r="P122" s="8" t="inlineStr">
        <is>
          <t>Brazilian factory PAC price (local Brazilian cost)</t>
        </is>
      </c>
      <c r="R122" t="inlineStr">
        <is>
          <t>Wire/Cable</t>
        </is>
      </c>
      <c r="S122" t="inlineStr">
        <is>
          <t>Already nationalized (PAC)</t>
        </is>
      </c>
      <c r="U122" s="3" t="n">
        <v>39.7487438177525</v>
      </c>
      <c r="W122" t="n">
        <v>0.023</v>
      </c>
      <c r="X122" t="inlineStr">
        <is>
          <t>85366990</t>
        </is>
      </c>
      <c r="Y122" t="inlineStr">
        <is>
          <t>5.1x1.15x2.95</t>
        </is>
      </c>
      <c r="Z122" t="inlineStr">
        <is>
          <t>Exact PN match in item catalog (41A271471P24)</t>
        </is>
      </c>
      <c r="AA122" t="inlineStr">
        <is>
          <t>High</t>
        </is>
      </c>
    </row>
    <row r="123" ht="35.25" customHeight="1" s="35">
      <c r="A123" s="8" t="inlineStr">
        <is>
          <t>41A296326BUP3</t>
        </is>
      </c>
      <c r="B123" s="8" t="inlineStr">
        <is>
          <t>Contact for 14-18 AWG wire (41A296326AUP1),
insulation OD .110-.150, with
secondary locking type
connector plug</t>
        </is>
      </c>
      <c r="C123" s="8" t="inlineStr">
        <is>
          <t>Controls (MCA, train control, er etc)</t>
        </is>
      </c>
      <c r="D123" s="8" t="inlineStr">
        <is>
          <t>Wiring</t>
        </is>
      </c>
      <c r="E123" s="11" t="n">
        <v>9</v>
      </c>
      <c r="H123" s="9" t="n">
        <v>4.665316569505291</v>
      </c>
      <c r="I123" s="9" t="n">
        <v>0.6490965536223519</v>
      </c>
      <c r="J123" s="9" t="n">
        <v>5.841868982601166</v>
      </c>
      <c r="K123" s="10" t="n">
        <v>24.0730334986473</v>
      </c>
      <c r="L123" s="10" t="n">
        <v>30.14404395022202</v>
      </c>
      <c r="M123" s="10" t="n">
        <v>2.6747814998497</v>
      </c>
      <c r="O123" s="8" t="inlineStr">
        <is>
          <t>PAC (Brazil BRL)</t>
        </is>
      </c>
      <c r="P123" s="8" t="inlineStr">
        <is>
          <t>Brazilian factory PAC price (local Brazilian cost)</t>
        </is>
      </c>
      <c r="R123" t="inlineStr">
        <is>
          <t>Connector/Plug</t>
        </is>
      </c>
      <c r="S123" t="inlineStr">
        <is>
          <t>Already nationalized (PAC)</t>
        </is>
      </c>
      <c r="T123" s="3" t="n">
        <v>36.25359920349296</v>
      </c>
      <c r="U123" s="3" t="n">
        <v>30.14404395022202</v>
      </c>
      <c r="V123" t="inlineStr">
        <is>
          <t>PAC/National is cheaper (by R$ 6.11)</t>
        </is>
      </c>
      <c r="W123" t="n">
        <v>0</v>
      </c>
      <c r="X123" t="inlineStr">
        <is>
          <t>85389090</t>
        </is>
      </c>
      <c r="Y123" t="inlineStr">
        <is>
          <t>1x0.1x0.1</t>
        </is>
      </c>
      <c r="Z123" t="inlineStr">
        <is>
          <t>Exact PN match in item catalog (41A296326BUP3)</t>
        </is>
      </c>
      <c r="AA123" t="inlineStr">
        <is>
          <t>High</t>
        </is>
      </c>
    </row>
    <row r="124" ht="35.25" customHeight="1" s="35">
      <c r="A124" s="8" t="inlineStr">
        <is>
          <t>N80P15016B13</t>
        </is>
      </c>
      <c r="B124" s="8" t="inlineStr">
        <is>
          <t>SCREW, PHP, 8-32 X 1, GR5, Z</t>
        </is>
      </c>
      <c r="C124" s="8" t="inlineStr">
        <is>
          <t>SKID Assembly</t>
        </is>
      </c>
      <c r="D124" s="8" t="inlineStr">
        <is>
          <t>SKID (Skid)</t>
        </is>
      </c>
      <c r="E124" s="11" t="n">
        <v>16</v>
      </c>
      <c r="H124" s="9" t="n">
        <v>3.904029232536434</v>
      </c>
      <c r="I124" s="9" t="n">
        <v>0.3055369734955261</v>
      </c>
      <c r="J124" s="9" t="n">
        <v>4.888591575928418</v>
      </c>
      <c r="K124" s="10" t="n">
        <v>20.144790839888</v>
      </c>
      <c r="L124" s="10" t="n">
        <v>25.22513253179063</v>
      </c>
      <c r="M124" s="10" t="n">
        <v>1.259049427493</v>
      </c>
      <c r="O124" s="8" t="inlineStr">
        <is>
          <t>PAC (Brazil BRL)</t>
        </is>
      </c>
      <c r="P124" s="8" t="inlineStr">
        <is>
          <t>Brazilian factory PAC price (local Brazilian cost)</t>
        </is>
      </c>
      <c r="W124" t="n">
        <v>0.005</v>
      </c>
      <c r="X124" t="inlineStr">
        <is>
          <t>73181500</t>
        </is>
      </c>
      <c r="Y124" t="inlineStr">
        <is>
          <t>1.125x0.25x0.25</t>
        </is>
      </c>
      <c r="Z124" t="inlineStr">
        <is>
          <t>Exact PN match in item catalog (N80P15016B13)</t>
        </is>
      </c>
      <c r="AA124" t="inlineStr">
        <is>
          <t>High</t>
        </is>
      </c>
    </row>
    <row r="125" ht="35.25" customHeight="1" s="35">
      <c r="A125" s="8" t="inlineStr">
        <is>
          <t>41A271471P24/38</t>
        </is>
      </c>
      <c r="B125" s="8" t="inlineStr">
        <is>
          <t>HPEAP DISCRETE CONNECTOR Backshell</t>
        </is>
      </c>
      <c r="C125" s="8" t="inlineStr">
        <is>
          <t>Controls (MCA, train control, er etc)</t>
        </is>
      </c>
      <c r="D125" s="8" t="inlineStr">
        <is>
          <t>Wiring</t>
        </is>
      </c>
      <c r="E125" s="11" t="n">
        <v>1</v>
      </c>
      <c r="F125" s="9" t="n">
        <v>1.9294</v>
      </c>
      <c r="H125" s="9" t="n">
        <v>3.107012068336</v>
      </c>
      <c r="I125" s="9" t="n">
        <v>3.890573589201102</v>
      </c>
      <c r="J125" s="9" t="n">
        <v>3.890573589201102</v>
      </c>
      <c r="K125" s="10" t="n">
        <v>16.03218227261376</v>
      </c>
      <c r="L125" s="10" t="n">
        <v>20.07535972027769</v>
      </c>
      <c r="O125" s="8" t="inlineStr">
        <is>
          <t>Imported BOM (USA)</t>
        </is>
      </c>
      <c r="P125" s="8" t="inlineStr">
        <is>
          <t>Brazilian factory PAC price (local Brazilian cost)</t>
        </is>
      </c>
      <c r="R125" t="inlineStr">
        <is>
          <t>Connector/Plug</t>
        </is>
      </c>
      <c r="S125" t="inlineStr">
        <is>
          <t>Low confidence - negligible value, family match only</t>
        </is>
      </c>
      <c r="T125" s="3" t="n">
        <v>20.07535972027769</v>
      </c>
      <c r="U125" s="3" t="n">
        <v>18.57964198750939</v>
      </c>
      <c r="V125" t="inlineStr">
        <is>
          <t>PAC/National is cheaper (by R$ 1.50)</t>
        </is>
      </c>
      <c r="W125" t="n">
        <v>0.023</v>
      </c>
      <c r="X125" t="inlineStr">
        <is>
          <t>85366990</t>
        </is>
      </c>
      <c r="Y125" t="inlineStr">
        <is>
          <t>5.1x1.15x2.95</t>
        </is>
      </c>
      <c r="Z125" t="inlineStr">
        <is>
          <t>Exact PN match in item catalog (41A271471P24)</t>
        </is>
      </c>
      <c r="AA125" t="inlineStr">
        <is>
          <t>High</t>
        </is>
      </c>
    </row>
    <row r="126" ht="35.25" customHeight="1" s="35">
      <c r="A126" s="8" t="inlineStr">
        <is>
          <t>41A271471P35</t>
        </is>
      </c>
      <c r="B126" s="8" t="inlineStr">
        <is>
          <t>CONNECTOR (24 SOCKET)</t>
        </is>
      </c>
      <c r="C126" s="8" t="inlineStr">
        <is>
          <t>Controls (MCA, train control, er etc)</t>
        </is>
      </c>
      <c r="D126" s="8" t="inlineStr">
        <is>
          <t>Wiring</t>
        </is>
      </c>
      <c r="E126" s="11" t="n">
        <v>1</v>
      </c>
      <c r="H126" s="9" t="n">
        <v>2.752597032913695</v>
      </c>
      <c r="I126" s="9" t="n">
        <v>3.446778152909711</v>
      </c>
      <c r="J126" s="9" t="n">
        <v>3.446778152909711</v>
      </c>
      <c r="K126" s="10" t="n">
        <v>14.20340068983467</v>
      </c>
      <c r="L126" s="10" t="n">
        <v>17.78537526901411</v>
      </c>
      <c r="M126" s="10" t="n">
        <v>14.20340068983467</v>
      </c>
      <c r="O126" s="8" t="inlineStr">
        <is>
          <t>PAC (Brazil BRL)</t>
        </is>
      </c>
      <c r="P126" s="8" t="inlineStr">
        <is>
          <t>Brazilian factory PAC price (local Brazilian cost)</t>
        </is>
      </c>
      <c r="R126" t="inlineStr">
        <is>
          <t>Connector/Plug</t>
        </is>
      </c>
      <c r="S126" t="inlineStr">
        <is>
          <t>Already nationalized (PAC)</t>
        </is>
      </c>
      <c r="T126" s="3" t="n">
        <v>18.0249733448196</v>
      </c>
      <c r="U126" s="3" t="n">
        <v>17.78537526901411</v>
      </c>
      <c r="V126" t="inlineStr">
        <is>
          <t>PAC/National is cheaper (by R$ 0.24)</t>
        </is>
      </c>
      <c r="W126" t="n">
        <v>0.027</v>
      </c>
      <c r="X126" t="inlineStr">
        <is>
          <t>85366990</t>
        </is>
      </c>
      <c r="Y126" t="inlineStr">
        <is>
          <t>1.65x1.05x1.65</t>
        </is>
      </c>
      <c r="Z126" t="inlineStr">
        <is>
          <t>Exact PN match in item catalog (41A271471P35)</t>
        </is>
      </c>
      <c r="AA126" t="inlineStr">
        <is>
          <t>High</t>
        </is>
      </c>
    </row>
    <row r="127" ht="35.25" customHeight="1" s="35">
      <c r="A127" s="8" t="inlineStr">
        <is>
          <t>41A271471P16</t>
        </is>
      </c>
      <c r="B127" s="8" t="inlineStr">
        <is>
          <t>SPEED SENSORS (1-3)/(4-6) CONNECTOR
(37 SOCKET)</t>
        </is>
      </c>
      <c r="C127" s="8" t="inlineStr">
        <is>
          <t>Controls (MCA, train control, er etc)</t>
        </is>
      </c>
      <c r="D127" s="8" t="inlineStr">
        <is>
          <t>Wiring</t>
        </is>
      </c>
      <c r="E127" s="11" t="n">
        <v>1</v>
      </c>
      <c r="H127" s="9" t="n">
        <v>2.543624750366279</v>
      </c>
      <c r="I127" s="9" t="n">
        <v>3.185104871482944</v>
      </c>
      <c r="J127" s="9" t="n">
        <v>3.185104871482944</v>
      </c>
      <c r="K127" s="10" t="n">
        <v>13.12510371189</v>
      </c>
      <c r="L127" s="10" t="n">
        <v>16.43514113685199</v>
      </c>
      <c r="M127" s="10" t="n">
        <v>13.12510371189</v>
      </c>
      <c r="O127" s="8" t="inlineStr">
        <is>
          <t>PAC (Brazil BRL)</t>
        </is>
      </c>
      <c r="P127" s="8" t="inlineStr">
        <is>
          <t>Brazilian factory PAC price (local Brazilian cost)</t>
        </is>
      </c>
      <c r="R127" t="inlineStr">
        <is>
          <t>Connector/Plug</t>
        </is>
      </c>
      <c r="S127" t="inlineStr">
        <is>
          <t>Already nationalized (PAC)</t>
        </is>
      </c>
      <c r="T127" s="3" t="n">
        <v>16.64526454636238</v>
      </c>
      <c r="U127" s="3" t="n">
        <v>16.43514113685199</v>
      </c>
      <c r="V127" t="inlineStr">
        <is>
          <t>PAC/National is cheaper (by R$ 0.21)</t>
        </is>
      </c>
      <c r="W127" t="n">
        <v>0.025</v>
      </c>
      <c r="X127" t="inlineStr">
        <is>
          <t>85366990</t>
        </is>
      </c>
      <c r="Y127" t="inlineStr">
        <is>
          <t>1.6x1.05x1.7</t>
        </is>
      </c>
      <c r="Z127" t="inlineStr">
        <is>
          <t>Exact PN match in item catalog (41A271471P16)</t>
        </is>
      </c>
      <c r="AA127" t="inlineStr">
        <is>
          <t>High</t>
        </is>
      </c>
    </row>
    <row r="128" ht="35.25" customHeight="1" s="35">
      <c r="A128" s="8" t="inlineStr">
        <is>
          <t>41A271471P22</t>
        </is>
      </c>
      <c r="B128" s="8" t="inlineStr">
        <is>
          <t>GROUND MEASURING MODULE
CONNECTOR</t>
        </is>
      </c>
      <c r="C128" s="8" t="inlineStr">
        <is>
          <t>Controls (MCA, train control, er etc)</t>
        </is>
      </c>
      <c r="D128" s="8" t="inlineStr">
        <is>
          <t>TRAIN CONTROL</t>
        </is>
      </c>
      <c r="E128" s="11" t="n">
        <v>1</v>
      </c>
      <c r="H128" s="9" t="n">
        <v>2.445463605656444</v>
      </c>
      <c r="I128" s="9" t="n">
        <v>3.062188336659709</v>
      </c>
      <c r="J128" s="9" t="n">
        <v>3.062188336659709</v>
      </c>
      <c r="K128" s="10" t="n">
        <v>12.61859220518725</v>
      </c>
      <c r="L128" s="10" t="n">
        <v>15.8008918171641</v>
      </c>
      <c r="M128" s="10" t="n">
        <v>12.61859220518725</v>
      </c>
      <c r="O128" s="8" t="inlineStr">
        <is>
          <t>PAC (Brazil BRL)</t>
        </is>
      </c>
      <c r="P128" s="8" t="inlineStr">
        <is>
          <t>Brazilian factory PAC price (local Brazilian cost)</t>
        </is>
      </c>
      <c r="R128" t="inlineStr">
        <is>
          <t>Connector/Plug</t>
        </is>
      </c>
      <c r="S128" t="inlineStr">
        <is>
          <t>Already nationalized (PAC)</t>
        </is>
      </c>
      <c r="T128" s="3" t="n">
        <v>16.30995290127628</v>
      </c>
      <c r="U128" s="3" t="n">
        <v>15.8008918171641</v>
      </c>
      <c r="V128" t="inlineStr">
        <is>
          <t>PAC/National is cheaper (by R$ 0.51)</t>
        </is>
      </c>
      <c r="W128" t="n">
        <v>0.014</v>
      </c>
      <c r="X128" t="inlineStr">
        <is>
          <t>85366990</t>
        </is>
      </c>
      <c r="Y128" t="inlineStr">
        <is>
          <t>1.25x1.05x1.3</t>
        </is>
      </c>
      <c r="Z128" t="inlineStr">
        <is>
          <t>Exact PN match in item catalog (41A271471P22)</t>
        </is>
      </c>
      <c r="AA128" t="inlineStr">
        <is>
          <t>High</t>
        </is>
      </c>
    </row>
    <row r="129" ht="35.25" customHeight="1" s="35">
      <c r="A129" s="8" t="inlineStr">
        <is>
          <t>41A271471P40</t>
        </is>
      </c>
      <c r="B129" s="8" t="inlineStr">
        <is>
          <t>TRAINLINE RESISTOR PANEL CONN BACKSHELL</t>
        </is>
      </c>
      <c r="C129" s="8" t="inlineStr">
        <is>
          <t>Controls (MCA, train control, er etc)</t>
        </is>
      </c>
      <c r="D129" s="8" t="inlineStr">
        <is>
          <t>Wiring</t>
        </is>
      </c>
      <c r="E129" s="11" t="n">
        <v>1</v>
      </c>
      <c r="H129" s="9" t="n">
        <v>2.426290605731288</v>
      </c>
      <c r="I129" s="9" t="n">
        <v>3.038180072290618</v>
      </c>
      <c r="J129" s="9" t="n">
        <v>3.038180072290618</v>
      </c>
      <c r="K129" s="10" t="n">
        <v>12.51965952557345</v>
      </c>
      <c r="L129" s="10" t="n">
        <v>15.67700917301959</v>
      </c>
      <c r="M129" s="10" t="n">
        <v>12.51965952557345</v>
      </c>
      <c r="O129" s="8" t="inlineStr">
        <is>
          <t>PAC (Brazil BRL)</t>
        </is>
      </c>
      <c r="P129" s="8" t="inlineStr">
        <is>
          <t>Brazilian factory PAC price (local Brazilian cost)</t>
        </is>
      </c>
      <c r="W129" t="n">
        <v>0.041</v>
      </c>
      <c r="X129" t="inlineStr">
        <is>
          <t>85369090</t>
        </is>
      </c>
      <c r="Y129" t="inlineStr">
        <is>
          <t>7.1x2.9x6.45</t>
        </is>
      </c>
      <c r="Z129" t="inlineStr">
        <is>
          <t>Exact PN match in item catalog (41A271471P40)</t>
        </is>
      </c>
      <c r="AA129" t="inlineStr">
        <is>
          <t>High</t>
        </is>
      </c>
    </row>
    <row r="130" ht="35.25" customHeight="1" s="35">
      <c r="A130" s="8" t="inlineStr">
        <is>
          <t>41A281695P1</t>
        </is>
      </c>
      <c r="B130" s="8" t="inlineStr">
        <is>
          <t>RESISTOR</t>
        </is>
      </c>
      <c r="C130" s="8" t="inlineStr">
        <is>
          <t>Controls (MCA, train control, er etc)</t>
        </is>
      </c>
      <c r="D130" s="8" t="inlineStr">
        <is>
          <t>TRAIN CONTROL</t>
        </is>
      </c>
      <c r="E130" s="11" t="n">
        <v>1</v>
      </c>
      <c r="H130" s="9" t="n">
        <v>1.909770652919864</v>
      </c>
      <c r="I130" s="9" t="n">
        <v>2.391398263110273</v>
      </c>
      <c r="J130" s="9" t="n">
        <v>2.391398263110273</v>
      </c>
      <c r="K130" s="10" t="n">
        <v>9.854416569066499</v>
      </c>
      <c r="L130" s="10" t="n">
        <v>12.33961503764901</v>
      </c>
      <c r="M130" s="10" t="n">
        <v>9.854416569066499</v>
      </c>
      <c r="O130" s="8" t="inlineStr">
        <is>
          <t>PAC (Brazil BRL)</t>
        </is>
      </c>
      <c r="P130" s="8" t="inlineStr">
        <is>
          <t>Brazilian factory PAC price (local Brazilian cost)</t>
        </is>
      </c>
      <c r="W130" t="n">
        <v>0.043</v>
      </c>
      <c r="X130" t="inlineStr">
        <is>
          <t>85332900</t>
        </is>
      </c>
      <c r="Y130" t="inlineStr">
        <is>
          <t>4x0.5x1</t>
        </is>
      </c>
      <c r="Z130" t="inlineStr">
        <is>
          <t>Exact PN match in item catalog (41A281695P1)</t>
        </is>
      </c>
      <c r="AA130" t="inlineStr">
        <is>
          <t>High</t>
        </is>
      </c>
    </row>
    <row r="131" ht="35.25" customHeight="1" s="35">
      <c r="A131" s="8" t="inlineStr">
        <is>
          <t>N402P8B13</t>
        </is>
      </c>
      <c r="B131" s="8" t="inlineStr">
        <is>
          <t>WASHER, FLAT, #8, GR5, Z</t>
        </is>
      </c>
      <c r="C131" s="8" t="inlineStr">
        <is>
          <t>SKID Assembly</t>
        </is>
      </c>
      <c r="D131" s="8" t="inlineStr">
        <is>
          <t>SKID (Skid)</t>
        </is>
      </c>
      <c r="E131" s="11" t="n">
        <v>16</v>
      </c>
      <c r="H131" s="9" t="n">
        <v>1.552125770698117</v>
      </c>
      <c r="I131" s="9" t="n">
        <v>0.1214724025402358</v>
      </c>
      <c r="J131" s="9" t="n">
        <v>1.943558440643773</v>
      </c>
      <c r="K131" s="10" t="n">
        <v>8.008968976802285</v>
      </c>
      <c r="L131" s="10" t="n">
        <v>10.02876155372187</v>
      </c>
      <c r="M131" s="10" t="n">
        <v>0.5005605610501428</v>
      </c>
      <c r="O131" s="8" t="inlineStr">
        <is>
          <t>PAC (Brazil BRL)</t>
        </is>
      </c>
      <c r="P131" s="8" t="inlineStr">
        <is>
          <t>Brazilian factory PAC price (local Brazilian cost)</t>
        </is>
      </c>
      <c r="W131" t="n">
        <v>0</v>
      </c>
      <c r="X131" t="inlineStr">
        <is>
          <t>73182200</t>
        </is>
      </c>
      <c r="Y131" t="inlineStr">
        <is>
          <t>0.25x0.005x0.25</t>
        </is>
      </c>
      <c r="Z131" t="inlineStr">
        <is>
          <t>Exact PN match in item catalog (N402P8B13)</t>
        </is>
      </c>
      <c r="AA131" t="inlineStr">
        <is>
          <t>High</t>
        </is>
      </c>
    </row>
    <row r="132" ht="35.25" customHeight="1" s="35">
      <c r="A132" s="8" t="inlineStr">
        <is>
          <t>41A265714P12</t>
        </is>
      </c>
      <c r="B132" s="8" t="inlineStr">
        <is>
          <t>Contact, .4in</t>
        </is>
      </c>
      <c r="C132" s="8" t="inlineStr">
        <is>
          <t>Controls (MCA, train control, er etc)</t>
        </is>
      </c>
      <c r="D132" s="8" t="inlineStr">
        <is>
          <t>Wiring</t>
        </is>
      </c>
      <c r="E132" s="11" t="n">
        <v>4</v>
      </c>
      <c r="H132" s="9" t="n">
        <v>1.423506910944789</v>
      </c>
      <c r="I132" s="9" t="n">
        <v>0.4456257547410434</v>
      </c>
      <c r="J132" s="9" t="n">
        <v>1.782503018964174</v>
      </c>
      <c r="K132" s="10" t="n">
        <v>7.345295660475112</v>
      </c>
      <c r="L132" s="10" t="n">
        <v>9.197715577855137</v>
      </c>
      <c r="M132" s="10" t="n">
        <v>1.836323915118778</v>
      </c>
      <c r="O132" s="8" t="inlineStr">
        <is>
          <t>PAC (Brazil BRL)</t>
        </is>
      </c>
      <c r="P132" s="8" t="inlineStr">
        <is>
          <t>Calculated with TP (17.2%) + International Freight (15%) + Import Duty (16%) + Domestic Freight (3%) | Qtd=1.0</t>
        </is>
      </c>
      <c r="R132" t="inlineStr">
        <is>
          <t>Connector/Plug</t>
        </is>
      </c>
      <c r="S132" t="inlineStr">
        <is>
          <t>Already nationalized (PAC)</t>
        </is>
      </c>
      <c r="T132" s="3" t="n">
        <v>8.868006801806525</v>
      </c>
      <c r="U132" s="3" t="n">
        <v>9.197715577855137</v>
      </c>
      <c r="V132" t="inlineStr">
        <is>
          <t>Import is cheaper (by R$ 0.33)</t>
        </is>
      </c>
      <c r="W132" t="n">
        <v>0</v>
      </c>
      <c r="X132" t="inlineStr">
        <is>
          <t>85389090</t>
        </is>
      </c>
      <c r="Y132" t="inlineStr">
        <is>
          <t>0.4x0.3x1</t>
        </is>
      </c>
      <c r="Z132" t="inlineStr">
        <is>
          <t>Exact PN match in item catalog (41A265714P12)</t>
        </is>
      </c>
      <c r="AA132" t="inlineStr">
        <is>
          <t>High</t>
        </is>
      </c>
    </row>
    <row r="133" ht="35.25" customHeight="1" s="35">
      <c r="A133" s="8" t="inlineStr">
        <is>
          <t>482A444ASP48</t>
        </is>
      </c>
      <c r="B133" s="8" t="inlineStr">
        <is>
          <t>PTC PULL UP RESISTOR</t>
        </is>
      </c>
      <c r="C133" s="8" t="inlineStr">
        <is>
          <t>PTC</t>
        </is>
      </c>
      <c r="D133" s="8" t="inlineStr">
        <is>
          <t>PTC</t>
        </is>
      </c>
      <c r="E133" s="11" t="n">
        <v>1</v>
      </c>
      <c r="H133" s="9" t="n">
        <v>1.049927813953488</v>
      </c>
      <c r="I133" s="9" t="n">
        <v>1.314710510835823</v>
      </c>
      <c r="J133" s="9" t="n">
        <v>1.314710510835823</v>
      </c>
      <c r="K133" s="10" t="n">
        <v>5.41762752</v>
      </c>
      <c r="L133" s="10" t="n">
        <v>6.783906235912848</v>
      </c>
      <c r="M133" s="10" t="n">
        <v>5.41762752</v>
      </c>
      <c r="O133" s="8" t="inlineStr">
        <is>
          <t>PAC (Brazil BRL)</t>
        </is>
      </c>
      <c r="P133" s="8" t="inlineStr">
        <is>
          <t>Calculated with TP (17.2%) + International Freight (15%) + Import Duty (16%) + Domestic Freight (3%) | Qtd=1.0</t>
        </is>
      </c>
      <c r="W133" t="n">
        <v>0.02</v>
      </c>
      <c r="X133" t="inlineStr">
        <is>
          <t>85332900</t>
        </is>
      </c>
      <c r="Y133" t="inlineStr">
        <is>
          <t>1.95x0.55x1</t>
        </is>
      </c>
      <c r="Z133" t="inlineStr">
        <is>
          <t>Exact PN match in item catalog (482A444ASP48)</t>
        </is>
      </c>
      <c r="AA133" t="inlineStr">
        <is>
          <t>High</t>
        </is>
      </c>
    </row>
    <row r="134" ht="35.25" customHeight="1" s="35">
      <c r="A134" s="8" t="inlineStr">
        <is>
          <t>41A296326AKP5</t>
        </is>
      </c>
      <c r="B134" s="8" t="inlineStr">
        <is>
          <t>Power Plug for the TCD</t>
        </is>
      </c>
      <c r="C134" s="8" t="inlineStr">
        <is>
          <t>Controls (MCA, train control, er etc)</t>
        </is>
      </c>
      <c r="D134" s="8" t="inlineStr">
        <is>
          <t>Wiring</t>
        </is>
      </c>
      <c r="E134" s="11" t="n">
        <v>1</v>
      </c>
      <c r="H134" s="9" t="n">
        <v>1.004585073869435</v>
      </c>
      <c r="I134" s="9" t="n">
        <v>1.257932724604853</v>
      </c>
      <c r="J134" s="9" t="n">
        <v>1.257932724604853</v>
      </c>
      <c r="K134" s="10" t="n">
        <v>5.183658981166286</v>
      </c>
      <c r="L134" s="10" t="n">
        <v>6.490932858961039</v>
      </c>
      <c r="M134" s="10" t="n">
        <v>5.183658981166286</v>
      </c>
      <c r="O134" s="8" t="inlineStr">
        <is>
          <t>PAC (Brazil BRL)</t>
        </is>
      </c>
      <c r="P134" s="8" t="inlineStr">
        <is>
          <t>Item included in the master kit or with no additional cost</t>
        </is>
      </c>
      <c r="R134" t="inlineStr">
        <is>
          <t>Connector/Plug</t>
        </is>
      </c>
      <c r="S134" t="inlineStr">
        <is>
          <t>Already nationalized (PAC)</t>
        </is>
      </c>
      <c r="T134" s="3" t="n">
        <v>7.262455748276607</v>
      </c>
      <c r="U134" s="3" t="n">
        <v>6.490932858961039</v>
      </c>
      <c r="V134" t="inlineStr">
        <is>
          <t>PAC/National is cheaper (by R$ 0.77)</t>
        </is>
      </c>
      <c r="W134" t="n">
        <v>0.002</v>
      </c>
      <c r="X134" t="inlineStr">
        <is>
          <t>85389090</t>
        </is>
      </c>
      <c r="Y134" t="inlineStr">
        <is>
          <t>0.85x0.3x1</t>
        </is>
      </c>
      <c r="Z134" t="inlineStr">
        <is>
          <t>Exact PN match in item catalog (41A296326AKP5)</t>
        </is>
      </c>
      <c r="AA134" t="inlineStr">
        <is>
          <t>High</t>
        </is>
      </c>
    </row>
    <row r="135" ht="35.25" customHeight="1" s="35">
      <c r="A135" s="8" t="inlineStr">
        <is>
          <t>41A296326AMP52</t>
        </is>
      </c>
      <c r="B135" s="8" t="inlineStr">
        <is>
          <t>Crimp Type Contact Pin</t>
        </is>
      </c>
      <c r="C135" s="8" t="inlineStr">
        <is>
          <t>Controls (MCA, train control, er etc)</t>
        </is>
      </c>
      <c r="D135" s="8" t="inlineStr">
        <is>
          <t>Wiring</t>
        </is>
      </c>
      <c r="E135" s="11" t="n">
        <v>5</v>
      </c>
      <c r="H135" s="9" t="n">
        <v>0.2666678062713178</v>
      </c>
      <c r="I135" s="9" t="n">
        <v>0.06678382325853188</v>
      </c>
      <c r="J135" s="9" t="n">
        <v>0.3339191162926594</v>
      </c>
      <c r="K135" s="10" t="n">
        <v>1.37600588036</v>
      </c>
      <c r="L135" s="10" t="n">
        <v>1.723022640070123</v>
      </c>
      <c r="M135" s="10" t="n">
        <v>0.275201176072</v>
      </c>
      <c r="O135" s="8" t="inlineStr">
        <is>
          <t>PAC (Brazil BRL)</t>
        </is>
      </c>
      <c r="P135" s="8" t="inlineStr">
        <is>
          <t>Recovered from Pathfinder BOM (Smart Light Source Co.); had no Part Number so was missed by PN-based matching. TP included (not yet color-reviewed, treated as default Yellow); freight 9%.</t>
        </is>
      </c>
      <c r="R135" t="inlineStr">
        <is>
          <t>Connector/Plug</t>
        </is>
      </c>
      <c r="S135" t="inlineStr">
        <is>
          <t>Already nationalized (PAC)</t>
        </is>
      </c>
      <c r="T135" s="3" t="n">
        <v>1.568075046137942</v>
      </c>
      <c r="U135" s="3" t="n">
        <v>1.723022640070123</v>
      </c>
      <c r="V135" t="inlineStr">
        <is>
          <t>Import is cheaper (by R$ 0.15)</t>
        </is>
      </c>
      <c r="W135" t="n">
        <v>0</v>
      </c>
      <c r="X135" t="inlineStr">
        <is>
          <t>85369090</t>
        </is>
      </c>
      <c r="Y135" t="inlineStr">
        <is>
          <t>0.05x0.05x0.1</t>
        </is>
      </c>
      <c r="Z135" t="inlineStr">
        <is>
          <t>Exact PN match in item catalog (41A296326AMP52)</t>
        </is>
      </c>
      <c r="AA135" t="inlineStr">
        <is>
          <t>High</t>
        </is>
      </c>
    </row>
    <row r="136" ht="35.25" customHeight="1" s="35">
      <c r="A136" s="8" t="inlineStr">
        <is>
          <t>499A906AAP2</t>
        </is>
      </c>
      <c r="B136" s="8" t="inlineStr">
        <is>
          <t>NUT, HEX, NYLOCK, 1/4-20, GR5, Z</t>
        </is>
      </c>
      <c r="C136" s="8" t="inlineStr">
        <is>
          <t>SKID Assembly</t>
        </is>
      </c>
      <c r="D136" s="8" t="inlineStr">
        <is>
          <t>SKID (Skid)</t>
        </is>
      </c>
      <c r="E136" s="11" t="n">
        <v>1</v>
      </c>
      <c r="H136" s="9" t="n">
        <v>0.07260975027623547</v>
      </c>
      <c r="I136" s="9" t="n">
        <v>0.09092130012050521</v>
      </c>
      <c r="J136" s="9" t="n">
        <v>0.09092130012050521</v>
      </c>
      <c r="K136" s="10" t="n">
        <v>0.374666311425375</v>
      </c>
      <c r="L136" s="10" t="n">
        <v>0.4691539086218069</v>
      </c>
      <c r="M136" s="10" t="n">
        <v>0.374666311425375</v>
      </c>
      <c r="O136" s="8" t="inlineStr">
        <is>
          <t>PAC (Brazil BRL)</t>
        </is>
      </c>
      <c r="P136" s="8" t="inlineStr">
        <is>
          <t>Recovered from Pathfinder BOM (Smart Light Source Co., PN HYD-LOC120); had no Part Number so was missed by PN-based matching. TP included (not yet color-reviewed, treated as default Yellow); freight 9%.</t>
        </is>
      </c>
      <c r="W136" t="n">
        <v>0.002</v>
      </c>
      <c r="X136" t="inlineStr">
        <is>
          <t>73181600</t>
        </is>
      </c>
      <c r="Y136" t="inlineStr">
        <is>
          <t>0.05x0.05x0.05</t>
        </is>
      </c>
      <c r="Z136" t="inlineStr">
        <is>
          <t>Exact PN match in item catalog (499A906AAP2)</t>
        </is>
      </c>
      <c r="AA136" t="inlineStr">
        <is>
          <t>High</t>
        </is>
      </c>
    </row>
    <row r="137" ht="35.25" customHeight="1" s="35">
      <c r="A137" s="8" t="inlineStr">
        <is>
          <t>41A296352DNP73</t>
        </is>
      </c>
      <c r="B137" s="8" t="inlineStr">
        <is>
          <t>CABLE: GROUND S TRAP</t>
        </is>
      </c>
      <c r="C137" s="8" t="inlineStr">
        <is>
          <t>Controls (MCA, train control, er etc)</t>
        </is>
      </c>
      <c r="D137" s="8" t="inlineStr">
        <is>
          <t>MCA</t>
        </is>
      </c>
      <c r="E137" s="11" t="n">
        <v>1</v>
      </c>
      <c r="F137" s="9" t="n">
        <v>0.01</v>
      </c>
      <c r="H137" s="9" t="n">
        <v>0.0161035144</v>
      </c>
      <c r="I137" s="9" t="n">
        <v>0.02016468119208615</v>
      </c>
      <c r="J137" s="9" t="n">
        <v>0.02016468119208615</v>
      </c>
      <c r="K137" s="10" t="n">
        <v>0.08309413430399999</v>
      </c>
      <c r="L137" s="10" t="n">
        <v>0.1040497549511645</v>
      </c>
      <c r="O137" s="8" t="inlineStr">
        <is>
          <t>Imported BOM (USA)</t>
        </is>
      </c>
      <c r="P137" s="8" t="inlineStr">
        <is>
          <t>Quotation pending (no USD or BRL price)</t>
        </is>
      </c>
      <c r="R137" t="inlineStr">
        <is>
          <t>Wire/Cable</t>
        </is>
      </c>
      <c r="S137" t="inlineStr">
        <is>
          <t>Low confidence - current BOM price is a $0.01 placeholder</t>
        </is>
      </c>
      <c r="T137" s="3" t="n"/>
      <c r="U137" s="3" t="n"/>
      <c r="V137" t="inlineStr">
        <is>
          <t>Not comparable - current price is a $0.01 BOM placeholder</t>
        </is>
      </c>
    </row>
    <row r="138" ht="35.25" customHeight="1" s="35">
      <c r="A138" s="8" t="inlineStr">
        <is>
          <t>41A296352DNP96</t>
        </is>
      </c>
      <c r="B138" s="8" t="inlineStr">
        <is>
          <t>Cable: CRM Ethernet Switch to ACC</t>
        </is>
      </c>
      <c r="C138" s="8" t="inlineStr">
        <is>
          <t>Controls (MCA, train control, er etc)</t>
        </is>
      </c>
      <c r="D138" s="8" t="inlineStr">
        <is>
          <t>MCA</t>
        </is>
      </c>
      <c r="E138" s="11" t="n">
        <v>1</v>
      </c>
      <c r="F138" s="9" t="n">
        <v>0.01</v>
      </c>
      <c r="H138" s="9" t="n">
        <v>0.0161035144</v>
      </c>
      <c r="I138" s="9" t="n">
        <v>0.02016468119208615</v>
      </c>
      <c r="J138" s="9" t="n">
        <v>0.02016468119208615</v>
      </c>
      <c r="K138" s="10" t="n">
        <v>0.08309413430399999</v>
      </c>
      <c r="L138" s="10" t="n">
        <v>0.1040497549511645</v>
      </c>
      <c r="O138" s="8" t="inlineStr">
        <is>
          <t>Imported BOM (USA)</t>
        </is>
      </c>
      <c r="P138" s="8" t="inlineStr">
        <is>
          <t>Quotation pending (no USD or BRL price)</t>
        </is>
      </c>
      <c r="R138" t="inlineStr">
        <is>
          <t>Wire/Cable</t>
        </is>
      </c>
      <c r="S138" t="inlineStr">
        <is>
          <t>Low confidence - current BOM price is a $0.01 placeholder</t>
        </is>
      </c>
      <c r="T138" s="3" t="n"/>
      <c r="U138" s="3" t="n"/>
      <c r="V138" t="inlineStr">
        <is>
          <t>Not comparable - current price is a $0.01 BOM placeholder</t>
        </is>
      </c>
    </row>
    <row r="139" ht="35.25" customHeight="1" s="35">
      <c r="A139" s="8" t="inlineStr">
        <is>
          <t>41A296352DNP57</t>
        </is>
      </c>
      <c r="B139" s="8" t="inlineStr">
        <is>
          <t>REMOTE HEAD - VOICE RADIO RITRON</t>
        </is>
      </c>
      <c r="C139" s="8" t="inlineStr">
        <is>
          <t>Connectivity</t>
        </is>
      </c>
      <c r="D139" s="8" t="inlineStr">
        <is>
          <t>VOICE RADIO</t>
        </is>
      </c>
      <c r="E139" s="11" t="n">
        <v>1</v>
      </c>
      <c r="H139" s="9" t="n">
        <v>0</v>
      </c>
      <c r="I139" s="9" t="n">
        <v>0</v>
      </c>
      <c r="J139" s="9" t="n">
        <v>0</v>
      </c>
      <c r="K139" s="10" t="n">
        <v>0</v>
      </c>
      <c r="L139" s="10" t="n">
        <v>0</v>
      </c>
      <c r="O139" s="8" t="inlineStr">
        <is>
          <t>INCLUDED / NO COST</t>
        </is>
      </c>
      <c r="P139" s="8" t="inlineStr">
        <is>
          <t>Quotation pending (no USD or BRL price)</t>
        </is>
      </c>
    </row>
    <row r="140" ht="35.25" customHeight="1" s="35">
      <c r="A140" s="8" t="inlineStr">
        <is>
          <t>41A296326CYP77</t>
        </is>
      </c>
      <c r="B140" s="8" t="inlineStr">
        <is>
          <t>M12-A_ MALE_ 8-PIN_ STRAIGHT BSH</t>
        </is>
      </c>
      <c r="C140" s="8" t="inlineStr">
        <is>
          <t>SKID Assembly</t>
        </is>
      </c>
      <c r="D140" s="8" t="inlineStr">
        <is>
          <t>SKID (Skid)</t>
        </is>
      </c>
      <c r="E140" s="11" t="n">
        <v>16</v>
      </c>
      <c r="O140" s="8" t="inlineStr">
        <is>
          <t>MISSING</t>
        </is>
      </c>
      <c r="P140" s="8" t="inlineStr">
        <is>
          <t>Quotation pending (no USD or BRL price)</t>
        </is>
      </c>
    </row>
    <row r="141" ht="35.25" customHeight="1" s="35">
      <c r="A141" s="8" t="inlineStr">
        <is>
          <t>41A296352PTP272</t>
        </is>
      </c>
      <c r="B141" s="8" t="inlineStr">
        <is>
          <t>BC-PRECISION NAVIGATION MODULE</t>
        </is>
      </c>
      <c r="C141" s="8" t="inlineStr">
        <is>
          <t>SKID Assembly</t>
        </is>
      </c>
      <c r="D141" s="8" t="inlineStr">
        <is>
          <t>SKID (Skid)</t>
        </is>
      </c>
      <c r="E141" s="11" t="n">
        <v>2</v>
      </c>
      <c r="O141" s="8" t="inlineStr">
        <is>
          <t>MISSING</t>
        </is>
      </c>
      <c r="P141" s="8" t="inlineStr">
        <is>
          <t>Quotation pending (no USD or BRL price)</t>
        </is>
      </c>
    </row>
    <row r="142" ht="35.25" customHeight="1" s="35">
      <c r="A142" s="8" t="inlineStr">
        <is>
          <t>41A296352PTP58</t>
        </is>
      </c>
      <c r="B142" s="8" t="inlineStr">
        <is>
          <t>AY-DISPLAY CSX PTC DISPLAY</t>
        </is>
      </c>
      <c r="C142" s="8" t="inlineStr">
        <is>
          <t>SKID Assembly</t>
        </is>
      </c>
      <c r="D142" s="8" t="inlineStr">
        <is>
          <t>SKID (Skid)</t>
        </is>
      </c>
      <c r="E142" s="11" t="n">
        <v>1</v>
      </c>
      <c r="O142" s="8" t="inlineStr">
        <is>
          <t>MISSING</t>
        </is>
      </c>
      <c r="P142" s="8" t="inlineStr">
        <is>
          <t>Quotation pending (no USD or BRL price)</t>
        </is>
      </c>
    </row>
    <row r="143" ht="35.25" customHeight="1" s="35">
      <c r="A143" s="8" t="inlineStr">
        <is>
          <t>41A296352PTP292</t>
        </is>
      </c>
      <c r="B143" s="8" t="inlineStr">
        <is>
          <t>AX-POWER SUPPLY 13.6 V</t>
        </is>
      </c>
      <c r="C143" s="8" t="inlineStr">
        <is>
          <t>SKID Assembly</t>
        </is>
      </c>
      <c r="D143" s="8" t="inlineStr">
        <is>
          <t>SKID (Skid)</t>
        </is>
      </c>
      <c r="E143" s="11" t="n">
        <v>1</v>
      </c>
      <c r="O143" s="8" t="inlineStr">
        <is>
          <t>MISSING</t>
        </is>
      </c>
      <c r="P143" s="8" t="inlineStr">
        <is>
          <t>Quotation pending (no USD or BRL price)</t>
        </is>
      </c>
    </row>
    <row r="144" ht="35.25" customHeight="1" s="35">
      <c r="A144" s="8" t="inlineStr">
        <is>
          <t>MODEM ATT</t>
        </is>
      </c>
      <c r="B144" s="8" t="inlineStr">
        <is>
          <t>MODEM ATT</t>
        </is>
      </c>
      <c r="C144" s="8" t="inlineStr">
        <is>
          <t>SKID Assembly</t>
        </is>
      </c>
      <c r="D144" s="8" t="inlineStr">
        <is>
          <t>SKID (Skid)</t>
        </is>
      </c>
      <c r="E144" s="11" t="n">
        <v>3</v>
      </c>
      <c r="O144" s="8" t="inlineStr">
        <is>
          <t>MISSING</t>
        </is>
      </c>
      <c r="P144" s="8" t="inlineStr">
        <is>
          <t>Exact PN match found in PAC (org GCM) as 'TMC Panel Assembly'. Replacement PN for original 17FL519A1.</t>
        </is>
      </c>
    </row>
    <row r="145" ht="35.25" customHeight="1" s="35">
      <c r="A145" s="8" t="inlineStr">
        <is>
          <t>84A237085AJP1</t>
        </is>
      </c>
      <c r="B145" s="8" t="inlineStr">
        <is>
          <t>C-GoLIN EP_3 SMA_M2 CELL MODEM</t>
        </is>
      </c>
      <c r="C145" s="8" t="inlineStr">
        <is>
          <t>SKID Assembly</t>
        </is>
      </c>
      <c r="D145" s="8" t="inlineStr">
        <is>
          <t>Controls (MCA, train control, er etc)</t>
        </is>
      </c>
      <c r="E145" s="11" t="n">
        <v>1</v>
      </c>
      <c r="O145" s="8" t="inlineStr">
        <is>
          <t>MISSING</t>
        </is>
      </c>
      <c r="P145" s="8" t="inlineStr">
        <is>
          <t>Quotation pending (no USD or BRL price)</t>
        </is>
      </c>
    </row>
    <row r="146" ht="35.25" customHeight="1" s="35">
      <c r="A146" s="8" t="inlineStr">
        <is>
          <t>17FL400B</t>
        </is>
      </c>
      <c r="B146" s="8" t="inlineStr">
        <is>
          <t>ST-DEVELOPER v19.4</t>
        </is>
      </c>
      <c r="C146" s="8" t="inlineStr">
        <is>
          <t>SKID Assembly</t>
        </is>
      </c>
      <c r="D146" s="8" t="inlineStr">
        <is>
          <t>SKID (Skid)</t>
        </is>
      </c>
      <c r="E146" s="11" t="n">
        <v>1</v>
      </c>
      <c r="O146" s="8" t="inlineStr">
        <is>
          <t>MISSING</t>
        </is>
      </c>
      <c r="P146" s="8" t="inlineStr">
        <is>
          <t>Quotation pending (no USD or BRL price)</t>
        </is>
      </c>
    </row>
    <row r="147" ht="35.25" customHeight="1" s="35">
      <c r="A147" s="8" t="inlineStr">
        <is>
          <t>41A296352CMP448</t>
        </is>
      </c>
      <c r="B147" s="8" t="inlineStr">
        <is>
          <t>FB-DIGITAL RADIO MODULE</t>
        </is>
      </c>
      <c r="C147" s="8" t="inlineStr">
        <is>
          <t>SKID Assembly</t>
        </is>
      </c>
      <c r="D147" s="8" t="inlineStr">
        <is>
          <t>SKID (Skid)</t>
        </is>
      </c>
      <c r="E147" s="11" t="n">
        <v>1</v>
      </c>
      <c r="O147" s="8" t="inlineStr">
        <is>
          <t>MISSING</t>
        </is>
      </c>
      <c r="P147" s="8" t="inlineStr">
        <is>
          <t>Quotation pending (no USD or BRL price)</t>
        </is>
      </c>
    </row>
    <row r="148" ht="35.25" customHeight="1" s="35">
      <c r="A148" s="8" t="inlineStr">
        <is>
          <t>41A296352PTP326</t>
        </is>
      </c>
      <c r="B148" s="8" t="inlineStr">
        <is>
          <t>BH-WABTEC TRAIN MANAGEMENT COMPUTER _WTMC_</t>
        </is>
      </c>
      <c r="C148" s="8" t="inlineStr">
        <is>
          <t>SKID Assembly</t>
        </is>
      </c>
      <c r="D148" s="8" t="inlineStr">
        <is>
          <t>SKID (Skid)</t>
        </is>
      </c>
      <c r="E148" s="11" t="n">
        <v>1</v>
      </c>
      <c r="O148" s="8" t="inlineStr">
        <is>
          <t>MISSING</t>
        </is>
      </c>
      <c r="P148" s="8" t="inlineStr">
        <is>
          <t>Quotation pending (no USD or BRL price)</t>
        </is>
      </c>
    </row>
    <row r="149" ht="35.25" customHeight="1" s="35">
      <c r="A149" s="8" t="inlineStr">
        <is>
          <t>17FM711C3</t>
        </is>
      </c>
      <c r="B149" s="8" t="inlineStr">
        <is>
          <t>H-PANEL DBM</t>
        </is>
      </c>
      <c r="C149" s="8" t="inlineStr">
        <is>
          <t>SKID Assembly</t>
        </is>
      </c>
      <c r="D149" s="8" t="inlineStr">
        <is>
          <t>SKID (Skid)</t>
        </is>
      </c>
      <c r="E149" s="11" t="n">
        <v>1</v>
      </c>
      <c r="O149" s="8" t="inlineStr">
        <is>
          <t>MISSING</t>
        </is>
      </c>
      <c r="P149" s="8" t="inlineStr">
        <is>
          <t>No PAC record for this exact PN; priced using the PAC reference for the analogous TCD PN 17FM839B1 (org GCM, identical description match) as a second physical display unit for the SKID. Confirm with engineering.</t>
        </is>
      </c>
    </row>
    <row r="150" ht="35.25" customHeight="1" s="35">
      <c r="A150" s="8" t="inlineStr">
        <is>
          <t>41A296352BCP9</t>
        </is>
      </c>
      <c r="B150" s="8" t="inlineStr">
        <is>
          <t>N-HEAD OF TRAIN DEVICE</t>
        </is>
      </c>
      <c r="C150" s="8" t="inlineStr">
        <is>
          <t>SKID Assembly</t>
        </is>
      </c>
      <c r="D150" s="8" t="inlineStr">
        <is>
          <t>SKID (Skid)</t>
        </is>
      </c>
      <c r="E150" s="11" t="n">
        <v>1</v>
      </c>
      <c r="O150" s="8" t="inlineStr">
        <is>
          <t>MISSING</t>
        </is>
      </c>
      <c r="P150" s="8" t="inlineStr">
        <is>
          <t>Quotation pending (no USD or BRL price)</t>
        </is>
      </c>
    </row>
    <row r="151" ht="35.25" customHeight="1" s="35">
      <c r="A151" s="8" t="inlineStr">
        <is>
          <t>RL-1033772</t>
        </is>
      </c>
      <c r="B151" s="8" t="inlineStr">
        <is>
          <t>ASSEMBLY, RELAY BOARD</t>
        </is>
      </c>
      <c r="C151" s="8" t="inlineStr">
        <is>
          <t>SKID Assembly</t>
        </is>
      </c>
      <c r="D151" s="8" t="inlineStr">
        <is>
          <t>SKID (Skid)</t>
        </is>
      </c>
      <c r="E151" s="11" t="n">
        <v>1</v>
      </c>
      <c r="O151" s="8" t="inlineStr">
        <is>
          <t>MISSING</t>
        </is>
      </c>
      <c r="P151" s="8" t="inlineStr">
        <is>
          <t>Quotation pending (no USD or BRL price)</t>
        </is>
      </c>
    </row>
    <row r="152" ht="35.25" customHeight="1" s="35">
      <c r="A152" s="8" t="inlineStr">
        <is>
          <t>41B549523ADP15</t>
        </is>
      </c>
      <c r="B152" s="8" t="inlineStr">
        <is>
          <t>SWITCH PUSH BUTTON</t>
        </is>
      </c>
      <c r="C152" s="8" t="inlineStr">
        <is>
          <t>SKID Assembly</t>
        </is>
      </c>
      <c r="D152" s="8" t="inlineStr">
        <is>
          <t>SKID (Skid)</t>
        </is>
      </c>
      <c r="E152" s="11" t="n">
        <v>2</v>
      </c>
      <c r="O152" s="8" t="inlineStr">
        <is>
          <t>MISSING</t>
        </is>
      </c>
      <c r="P152" s="8" t="inlineStr">
        <is>
          <t>Quotation pending (no USD or BRL price)</t>
        </is>
      </c>
    </row>
    <row r="153" ht="35.25" customHeight="1" s="35">
      <c r="A153" s="8" t="inlineStr">
        <is>
          <t>BAP900F</t>
        </is>
      </c>
      <c r="B153" s="8" t="inlineStr">
        <is>
          <t>CONVERTER/CHARGER DC/DC 74/72-F4WTSA</t>
        </is>
      </c>
      <c r="C153" s="8" t="inlineStr">
        <is>
          <t>SKID Assembly</t>
        </is>
      </c>
      <c r="D153" s="8" t="inlineStr">
        <is>
          <t>SKID (Skid)</t>
        </is>
      </c>
      <c r="E153" s="11" t="n">
        <v>3</v>
      </c>
      <c r="O153" s="8" t="inlineStr">
        <is>
          <t>MISSING</t>
        </is>
      </c>
      <c r="P153" s="8" t="inlineStr">
        <is>
          <t>Quotation pending (no USD or BRL price)</t>
        </is>
      </c>
    </row>
    <row r="154" ht="35.25" customHeight="1" s="35">
      <c r="A154" s="8" t="inlineStr">
        <is>
          <t>41A296352PTP360</t>
        </is>
      </c>
      <c r="B154" s="8" t="inlineStr">
        <is>
          <t>_BB-CUT-OUT SWITCH CABINET</t>
        </is>
      </c>
      <c r="C154" s="8" t="inlineStr">
        <is>
          <t>SKID Assembly</t>
        </is>
      </c>
      <c r="D154" s="8" t="inlineStr">
        <is>
          <t>SKID (Skid)</t>
        </is>
      </c>
      <c r="E154" s="11" t="n">
        <v>1</v>
      </c>
      <c r="O154" s="8" t="inlineStr">
        <is>
          <t>MISSING</t>
        </is>
      </c>
      <c r="P154" s="8" t="inlineStr">
        <is>
          <t>Quotation pending (no USD or BRL price)</t>
        </is>
      </c>
    </row>
    <row r="155" ht="35.25" customHeight="1" s="35">
      <c r="A155" s="8" t="inlineStr">
        <is>
          <t>N265P21B</t>
        </is>
      </c>
      <c r="B155" s="8" t="inlineStr">
        <is>
          <t>NUT, HEX, LOCK, 1/4-20, GR5, Z</t>
        </is>
      </c>
      <c r="C155" s="8" t="inlineStr">
        <is>
          <t>SKID Assembly</t>
        </is>
      </c>
      <c r="D155" s="8" t="inlineStr">
        <is>
          <t>SKID (Skid)</t>
        </is>
      </c>
      <c r="E155" s="11" t="n">
        <v>1</v>
      </c>
      <c r="O155" s="8" t="inlineStr">
        <is>
          <t>MISSING</t>
        </is>
      </c>
      <c r="P155" s="8" t="inlineStr">
        <is>
          <t>Quotation pending (no USD or BRL price)</t>
        </is>
      </c>
    </row>
    <row r="156" ht="35.25" customHeight="1" s="35">
      <c r="A156" s="8" t="inlineStr">
        <is>
          <t>N647AP21012B</t>
        </is>
      </c>
      <c r="B156" s="8" t="inlineStr">
        <is>
          <t>BOLT, BHCS, 1/4"-20 X 3/4", 18-8</t>
        </is>
      </c>
      <c r="C156" s="8" t="inlineStr">
        <is>
          <t>SKID Assembly</t>
        </is>
      </c>
      <c r="D156" s="8" t="inlineStr">
        <is>
          <t>SKID (Skid)</t>
        </is>
      </c>
      <c r="E156" s="11" t="n">
        <v>17</v>
      </c>
      <c r="O156" s="8" t="inlineStr">
        <is>
          <t>MISSING</t>
        </is>
      </c>
      <c r="P156" s="8" t="inlineStr">
        <is>
          <t>Quotation pending (no USD or BRL price)</t>
        </is>
      </c>
    </row>
    <row r="157" ht="35.25" customHeight="1" s="35">
      <c r="A157" s="8" t="inlineStr">
        <is>
          <t>1009634-901</t>
        </is>
      </c>
      <c r="B157" s="8" t="inlineStr">
        <is>
          <t>SFM 701x Smart Fan Module</t>
        </is>
      </c>
      <c r="C157" s="8" t="inlineStr">
        <is>
          <t>SKID Assembly</t>
        </is>
      </c>
      <c r="D157" s="8" t="inlineStr">
        <is>
          <t>bottom on ACC</t>
        </is>
      </c>
      <c r="E157" s="11" t="n">
        <v>3</v>
      </c>
      <c r="O157" s="8" t="inlineStr">
        <is>
          <t>MISSING</t>
        </is>
      </c>
      <c r="P157" s="8" t="inlineStr">
        <is>
          <t>Quotation pending (no USD or BRL price)</t>
        </is>
      </c>
    </row>
    <row r="158" ht="35.25" customHeight="1" s="35">
      <c r="A158" s="8" t="inlineStr">
        <is>
          <t>401581-100</t>
        </is>
      </c>
      <c r="B158" s="8" t="inlineStr">
        <is>
          <t>SFPIM 703x 15v Smart Fan Module</t>
        </is>
      </c>
      <c r="C158" s="8" t="inlineStr">
        <is>
          <t>SKID Assembly</t>
        </is>
      </c>
      <c r="D158" s="8" t="inlineStr">
        <is>
          <t>41A296352VHP1_E-GEW</t>
        </is>
      </c>
      <c r="E158" s="11" t="n">
        <v>2</v>
      </c>
      <c r="O158" s="8" t="inlineStr">
        <is>
          <t>MISSING</t>
        </is>
      </c>
      <c r="P158" s="8" t="inlineStr">
        <is>
          <t>Quotation pending (no USD or BRL price)</t>
        </is>
      </c>
    </row>
    <row r="159" ht="35.25" customHeight="1" s="35">
      <c r="A159" s="8" t="inlineStr">
        <is>
          <t>PTC-FILT-NB-160-MIL-U</t>
        </is>
      </c>
      <c r="B159" s="8" t="inlineStr">
        <is>
          <t>160 MHz PTC Filter</t>
        </is>
      </c>
      <c r="C159" s="8" t="inlineStr">
        <is>
          <t>SKID Assembly</t>
        </is>
      </c>
      <c r="D159" s="8" t="inlineStr">
        <is>
          <t>later</t>
        </is>
      </c>
      <c r="E159" s="11" t="n">
        <v>1</v>
      </c>
      <c r="O159" s="8" t="inlineStr">
        <is>
          <t>MISSING</t>
        </is>
      </c>
      <c r="P159" s="8" t="inlineStr">
        <is>
          <t>Quotation pending (no USD or BRL price)</t>
        </is>
      </c>
    </row>
    <row r="160" ht="35.25" customHeight="1" s="35">
      <c r="A160" s="8" t="inlineStr">
        <is>
          <t>PTC-FILT-NB-220-MIL-MF</t>
        </is>
      </c>
      <c r="B160" s="8" t="inlineStr">
        <is>
          <t>220 Mhz PTC FILTER</t>
        </is>
      </c>
      <c r="C160" s="8" t="inlineStr">
        <is>
          <t>SKID Assembly</t>
        </is>
      </c>
      <c r="D160" s="8" t="inlineStr">
        <is>
          <t>later</t>
        </is>
      </c>
      <c r="E160" s="11" t="n">
        <v>2</v>
      </c>
      <c r="O160" s="8" t="inlineStr">
        <is>
          <t>MISSING</t>
        </is>
      </c>
      <c r="P160" s="8" t="inlineStr">
        <is>
          <t>Quotation pending (no USD or BRL price)</t>
        </is>
      </c>
    </row>
    <row r="161" ht="35.25" customHeight="1" s="35">
      <c r="B161" s="8" t="inlineStr">
        <is>
          <t>PTC Junction Box</t>
        </is>
      </c>
      <c r="C161" s="8" t="inlineStr">
        <is>
          <t>SKID Assembly</t>
        </is>
      </c>
      <c r="D161" s="8" t="inlineStr">
        <is>
          <t>SKID (Skid)</t>
        </is>
      </c>
      <c r="E161" s="11" t="n">
        <v>1</v>
      </c>
      <c r="O161" s="8" t="inlineStr">
        <is>
          <t>MISSING</t>
        </is>
      </c>
      <c r="P161" s="8" t="inlineStr">
        <is>
          <t>Quotation pending (no USD or BRL price)</t>
        </is>
      </c>
    </row>
    <row r="162" ht="35.25" customHeight="1" s="35">
      <c r="A162" s="8" t="inlineStr">
        <is>
          <t>41A296352LUP15</t>
        </is>
      </c>
      <c r="B162" s="8" t="inlineStr">
        <is>
          <t>455 MHz Antenna (DPA, DPB, EOT )</t>
        </is>
      </c>
      <c r="C162" s="8" t="inlineStr">
        <is>
          <t>SKID Assembly</t>
        </is>
      </c>
      <c r="D162" s="8" t="inlineStr">
        <is>
          <t>SKID (Skid)</t>
        </is>
      </c>
      <c r="E162" s="11" t="n">
        <v>3</v>
      </c>
      <c r="O162" s="8" t="inlineStr">
        <is>
          <t>MISSING</t>
        </is>
      </c>
      <c r="P162" s="8" t="inlineStr">
        <is>
          <t>Quotation pending (no USD or BRL price)</t>
        </is>
      </c>
    </row>
    <row r="163" ht="35.25" customHeight="1" s="35">
      <c r="A163" s="8" t="inlineStr">
        <is>
          <t>84D749224G1</t>
        </is>
      </c>
      <c r="B163" s="8" t="inlineStr">
        <is>
          <t>Power resistor</t>
        </is>
      </c>
      <c r="C163" s="8" t="inlineStr">
        <is>
          <t>SKID Assembly</t>
        </is>
      </c>
      <c r="D163" s="8" t="inlineStr">
        <is>
          <t>Battery Skid?</t>
        </is>
      </c>
      <c r="E163" s="11" t="n">
        <v>1</v>
      </c>
      <c r="O163" s="8" t="inlineStr">
        <is>
          <t>MISSING</t>
        </is>
      </c>
      <c r="P163" t="inlineStr">
        <is>
          <t>Exact PN match found in PAC (org GCM) as 'CARD'. Made by GET; retained for GET impact analysis using PAC reference price.</t>
        </is>
      </c>
    </row>
  </sheetData>
  <autoFilter ref="A1:O165">
    <sortState ref="A2:O163">
      <sortCondition descending="1" ref="H1:H165"/>
    </sortState>
  </autoFilter>
  <pageMargins left="0.75" right="0.75" top="1" bottom="1" header="0.5" footer="0.5"/>
  <headerFooter>
    <oddHeader>&amp;R&amp;"Aptos"&amp;1 &amp;K000000 1 - General Business#_x000d_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F19" sqref="F19"/>
    </sheetView>
  </sheetViews>
  <sheetFormatPr baseColWidth="8" defaultRowHeight="15"/>
  <cols>
    <col width="38" customWidth="1" style="35" min="1" max="1"/>
    <col width="80" customWidth="1" style="35" min="2" max="2"/>
    <col width="19" customWidth="1" style="35" min="3" max="3"/>
    <col width="28" customWidth="1" style="35" min="4" max="4"/>
    <col width="44.85546875" bestFit="1" customWidth="1" style="35" min="5" max="5"/>
    <col width="42" customWidth="1" style="35" min="6" max="6"/>
    <col width="77" customWidth="1" style="35" min="7" max="7"/>
  </cols>
  <sheetData>
    <row r="1">
      <c r="A1" s="2" t="inlineStr">
        <is>
          <t>GDT Category</t>
        </is>
      </c>
      <c r="B1" s="2" t="inlineStr">
        <is>
          <t>Item / Service or Material Description</t>
        </is>
      </c>
      <c r="C1" s="2" t="inlineStr">
        <is>
          <t>Direct Cost BRL</t>
        </is>
      </c>
      <c r="D1" s="2" t="inlineStr">
        <is>
          <t>Direct Cost USD (@ 5.16)</t>
        </is>
      </c>
      <c r="E1" s="2" t="inlineStr">
        <is>
          <t>Gross Price BRL (Including PIS/COFINS and ICMS)</t>
        </is>
      </c>
      <c r="F1" s="2" t="inlineStr">
        <is>
          <t>Gross Price USD (Including PIS/COFINS and ICMS)</t>
        </is>
      </c>
      <c r="G1" s="2" t="inlineStr">
        <is>
          <t>Notes / Calculation Details</t>
        </is>
      </c>
    </row>
    <row r="2">
      <c r="A2" t="inlineStr">
        <is>
          <t>Integration / Container Materials</t>
        </is>
      </c>
      <c r="B2" t="inlineStr">
        <is>
          <t>Container + enviromental Report</t>
        </is>
      </c>
      <c r="C2" s="3" t="n">
        <v>70000</v>
      </c>
      <c r="D2" s="4" t="n">
        <v>13565.89147286822</v>
      </c>
      <c r="E2" s="3" t="n">
        <v>87653.39343851741</v>
      </c>
      <c r="F2" s="4" t="n">
        <v>16987.09175165066</v>
      </c>
      <c r="G2" t="inlineStr">
        <is>
          <t>Não incluso transporte do container</t>
        </is>
      </c>
    </row>
    <row r="3">
      <c r="A3" t="inlineStr">
        <is>
          <t>Integration / Container Materials</t>
        </is>
      </c>
      <c r="B3" t="inlineStr">
        <is>
          <t>Pneumatics (tubulações, 14un mangueiras, 30un torneiras, conexões)</t>
        </is>
      </c>
      <c r="C3" s="3" t="n">
        <v>25000</v>
      </c>
      <c r="D3" s="4" t="n">
        <v>4844.961240310077</v>
      </c>
      <c r="E3" s="3" t="n">
        <v>31304.78337089907</v>
      </c>
      <c r="F3" s="4" t="n">
        <v>6066.818482732378</v>
      </c>
      <c r="G3" t="inlineStr">
        <is>
          <t>Conexões pneumáticas gerais</t>
        </is>
      </c>
    </row>
    <row r="4">
      <c r="A4" t="inlineStr">
        <is>
          <t>Integration / Container Materials</t>
        </is>
      </c>
      <c r="B4" t="inlineStr">
        <is>
          <t>Rack Electrical Connection</t>
        </is>
      </c>
      <c r="C4" s="3" t="n">
        <v>25000</v>
      </c>
      <c r="D4" s="4" t="n">
        <v>4844.961240310077</v>
      </c>
      <c r="E4" s="3" t="n">
        <v>31304.78337089907</v>
      </c>
      <c r="F4" s="4" t="n">
        <v>6066.818482732378</v>
      </c>
      <c r="G4" t="inlineStr">
        <is>
          <t>Chicotes e passagem de cabos</t>
        </is>
      </c>
    </row>
    <row r="5">
      <c r="A5" t="inlineStr">
        <is>
          <t>Integration / Container Materials</t>
        </is>
      </c>
      <c r="B5" t="inlineStr">
        <is>
          <t>Internal Electrical System (cabeamento, iluminação interna, 4un strobe, 6un steplights)</t>
        </is>
      </c>
      <c r="C5" s="3" t="n">
        <v>5000</v>
      </c>
      <c r="D5" s="4" t="n">
        <v>968.9922480620155</v>
      </c>
      <c r="E5" s="3" t="n">
        <v>6260.956674179814</v>
      </c>
      <c r="F5" s="4" t="n">
        <v>1213.363696546476</v>
      </c>
      <c r="G5" t="inlineStr">
        <is>
          <t>Horn and headlight not needed</t>
        </is>
      </c>
    </row>
    <row r="6">
      <c r="A6" t="inlineStr">
        <is>
          <t>Integration / Container Materials</t>
        </is>
      </c>
      <c r="B6" t="inlineStr">
        <is>
          <t>MU Connectors (4un), MU Jumpers (2un)</t>
        </is>
      </c>
      <c r="C6" s="3" t="n">
        <v>60000</v>
      </c>
      <c r="D6" s="4" t="n">
        <v>11627.90697674419</v>
      </c>
      <c r="E6" s="3" t="n">
        <v>75131.48009015777</v>
      </c>
      <c r="F6" s="4" t="n">
        <v>14560.36435855771</v>
      </c>
      <c r="G6" t="inlineStr">
        <is>
          <t>Considerando eletrodutos e alongamento de cabeamento do container ao vagão</t>
        </is>
      </c>
    </row>
    <row r="7">
      <c r="A7" t="inlineStr">
        <is>
          <t>Integration / Container Materials</t>
        </is>
      </c>
      <c r="B7" t="inlineStr">
        <is>
          <t>Air Conditioning, Inverter and Power</t>
        </is>
      </c>
      <c r="C7" s="3" t="n">
        <v>100000</v>
      </c>
      <c r="D7" s="4" t="n">
        <v>19379.84496124031</v>
      </c>
      <c r="E7" s="3" t="n">
        <v>125219.1334835963</v>
      </c>
      <c r="F7" s="4" t="n">
        <v>24267.27393092951</v>
      </c>
      <c r="G7" t="inlineStr">
        <is>
          <t>Ar condicionado, inversor e potência para troca de calor</t>
        </is>
      </c>
    </row>
    <row r="8">
      <c r="A8" t="inlineStr">
        <is>
          <t>Integration / Container Materials</t>
        </is>
      </c>
      <c r="B8" t="inlineStr">
        <is>
          <t>Container Thermal Insulation</t>
        </is>
      </c>
      <c r="C8" s="3" t="n">
        <v>100000</v>
      </c>
      <c r="D8" s="4" t="n">
        <v>19379.84496124031</v>
      </c>
      <c r="E8" s="3" t="n">
        <v>125219.1334835963</v>
      </c>
      <c r="F8" s="4" t="n">
        <v>24267.27393092951</v>
      </c>
      <c r="G8" t="inlineStr">
        <is>
          <t>Isolamento térmico interno</t>
        </is>
      </c>
    </row>
    <row r="9">
      <c r="A9" t="inlineStr">
        <is>
          <t>Integration / Container Materials</t>
        </is>
      </c>
      <c r="B9" t="inlineStr">
        <is>
          <t>Steel (railcar repair, ladder and access door)</t>
        </is>
      </c>
      <c r="C9" s="3" t="n">
        <v>12500</v>
      </c>
      <c r="D9" s="4" t="n">
        <v>2422.480620155039</v>
      </c>
      <c r="E9" s="3" t="n">
        <v>15652.39168544954</v>
      </c>
      <c r="F9" s="4" t="n">
        <v>3033.409241366189</v>
      </c>
      <c r="G9" t="inlineStr">
        <is>
          <t>25 reais por quilo</t>
        </is>
      </c>
    </row>
    <row r="10">
      <c r="A10" t="inlineStr">
        <is>
          <t>Integration / Container Materials</t>
        </is>
      </c>
      <c r="B10" t="inlineStr">
        <is>
          <t>Painting and Lettering (Lettering)</t>
        </is>
      </c>
      <c r="C10" s="3" t="n">
        <v>5000</v>
      </c>
      <c r="D10" s="4" t="n">
        <v>968.9922480620155</v>
      </c>
      <c r="E10" s="3" t="n">
        <v>6260.956674179814</v>
      </c>
      <c r="F10" s="4" t="n">
        <v>1213.363696546476</v>
      </c>
      <c r="G10" t="inlineStr">
        <is>
          <t>Não considerando pintar o vagão inteiro</t>
        </is>
      </c>
    </row>
    <row r="11">
      <c r="A11" t="inlineStr">
        <is>
          <t>Integration / Container Materials</t>
        </is>
      </c>
      <c r="B11" t="inlineStr">
        <is>
          <t>Miscellaneous</t>
        </is>
      </c>
      <c r="C11" s="3" t="n">
        <v>10000</v>
      </c>
      <c r="D11" s="4" t="n">
        <v>1937.984496124031</v>
      </c>
      <c r="E11" s="3" t="n">
        <v>12521.91334835963</v>
      </c>
      <c r="F11" s="4" t="n">
        <v>2426.727393092951</v>
      </c>
      <c r="G11" t="inlineStr">
        <is>
          <t>Insumos e materiais diversos</t>
        </is>
      </c>
    </row>
    <row r="12">
      <c r="A12" t="inlineStr">
        <is>
          <t>Labor and Field Services</t>
        </is>
      </c>
      <c r="B12" t="inlineStr">
        <is>
          <t>Assembly and Integration Labor (Labor Cost)</t>
        </is>
      </c>
      <c r="C12" s="3" t="n">
        <v>122752</v>
      </c>
      <c r="D12" s="4" t="n">
        <v>23789.14728682171</v>
      </c>
      <c r="E12" s="3" t="n">
        <v>153708.9907337841</v>
      </c>
      <c r="F12" s="4" t="n">
        <v>29788.5640956946</v>
      </c>
      <c r="G12" t="inlineStr">
        <is>
          <t>1.096 horas (mecânica, elétrica, solda, pintura e campo) @ R$ 112/h</t>
        </is>
      </c>
    </row>
    <row r="13">
      <c r="A13" t="inlineStr">
        <is>
          <t>Labor and Field Services</t>
        </is>
      </c>
      <c r="B13" t="inlineStr">
        <is>
          <t>Engineering / Project Design (NRE)</t>
        </is>
      </c>
      <c r="C13" s="3" t="n">
        <v>39424</v>
      </c>
      <c r="D13" s="4" t="n">
        <v>7640.31007751938</v>
      </c>
      <c r="E13" s="3" t="n">
        <v>49366.391184573</v>
      </c>
      <c r="F13" s="4" t="n">
        <v>9567.130074529652</v>
      </c>
      <c r="G13" t="inlineStr">
        <is>
          <t>1 engenheiro + 1 projetista durante 1 mês</t>
        </is>
      </c>
    </row>
    <row r="14">
      <c r="A14" t="inlineStr">
        <is>
          <t>Labor and Field Services</t>
        </is>
      </c>
      <c r="B14" t="inlineStr">
        <is>
          <t>Field Commissioning</t>
        </is>
      </c>
      <c r="C14" s="3" t="n">
        <v>44352</v>
      </c>
      <c r="D14" s="4" t="n">
        <v>8595.348837209302</v>
      </c>
      <c r="E14" s="3" t="n">
        <v>55537.19008264463</v>
      </c>
      <c r="F14" s="4" t="n">
        <v>10763.02133384586</v>
      </c>
      <c r="G14" t="inlineStr">
        <is>
          <t>396 horas de campo</t>
        </is>
      </c>
    </row>
    <row r="15">
      <c r="A15" t="inlineStr">
        <is>
          <t>Labor and Field Services</t>
        </is>
      </c>
      <c r="B15" t="inlineStr">
        <is>
          <t>Container Freight / Transportation</t>
        </is>
      </c>
      <c r="C15" s="3" t="n">
        <v>20000</v>
      </c>
      <c r="D15" s="4" t="n">
        <v>3875.968992248062</v>
      </c>
      <c r="E15" s="3" t="n">
        <v>25043.82669671926</v>
      </c>
      <c r="F15" s="4" t="n">
        <v>4853.454786185903</v>
      </c>
      <c r="G15" t="inlineStr">
        <is>
          <t>Trazer Container para o local de montagem</t>
        </is>
      </c>
    </row>
    <row r="16">
      <c r="A16" t="inlineStr">
        <is>
          <t>Labor and Field Services</t>
        </is>
      </c>
      <c r="B16" t="inlineStr">
        <is>
          <t>Training</t>
        </is>
      </c>
      <c r="C16" s="3" t="n">
        <v>2000</v>
      </c>
      <c r="D16" s="4" t="n">
        <v>387.5968992248062</v>
      </c>
      <c r="E16" s="3" t="n">
        <v>2504.382669671926</v>
      </c>
      <c r="F16" s="4" t="n">
        <v>485.3454786185902</v>
      </c>
      <c r="G16" t="inlineStr">
        <is>
          <t>Apenas funcionalidade do container</t>
        </is>
      </c>
    </row>
    <row r="17">
      <c r="A17" t="inlineStr">
        <is>
          <t>Labor and Field Services</t>
        </is>
      </c>
      <c r="B17" t="inlineStr">
        <is>
          <t>12-Month Warranty (3%)</t>
        </is>
      </c>
      <c r="C17" s="3" t="n">
        <v>39000</v>
      </c>
      <c r="D17" s="4" t="n">
        <v>7558.13953488372</v>
      </c>
      <c r="E17" s="3" t="n">
        <v>48835.46205860256</v>
      </c>
      <c r="F17" s="4" t="n">
        <v>9464.23683306251</v>
      </c>
      <c r="G17" t="inlineStr">
        <is>
          <t>3% rate applied to cost</t>
        </is>
      </c>
    </row>
    <row r="18">
      <c r="A18" t="inlineStr">
        <is>
          <t>Labor and Field Services</t>
        </is>
      </c>
      <c r="B18" t="inlineStr">
        <is>
          <t>SG&amp;A (5%)</t>
        </is>
      </c>
      <c r="C18" s="3" t="n">
        <v>27762.6</v>
      </c>
      <c r="D18" s="4" t="n">
        <v>5380.348837209302</v>
      </c>
      <c r="E18" s="3" t="n">
        <v>34764.08715251691</v>
      </c>
      <c r="F18" s="4" t="n">
        <v>6737.226192348237</v>
      </c>
      <c r="G18" t="inlineStr">
        <is>
          <t>5% rate applied to administrative expenses</t>
        </is>
      </c>
    </row>
    <row r="19">
      <c r="A19" s="1" t="inlineStr">
        <is>
          <t>TOTAL GDT ROLLUP</t>
        </is>
      </c>
      <c r="B19" s="1" t="inlineStr">
        <is>
          <t>Total Integration, Adaptation and Services</t>
        </is>
      </c>
      <c r="C19" s="5" t="n">
        <v>707790.6</v>
      </c>
      <c r="D19" s="6" t="n">
        <v>137168.7209302326</v>
      </c>
      <c r="E19" s="5" t="n">
        <v>886289.256198347</v>
      </c>
      <c r="F19" s="6" t="n">
        <v>171761.4837593696</v>
      </c>
      <c r="G19" s="1" t="inlineStr">
        <is>
          <t>Sum of all additional materials and services from the rollup</t>
        </is>
      </c>
    </row>
  </sheetData>
  <pageMargins left="0.75" right="0.75" top="1" bottom="1" header="0.5" footer="0.5"/>
  <headerFooter>
    <oddHeader>&amp;R&amp;"Aptos"&amp;1 &amp;K000000 1 - General Business#_x000d_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E1" sqref="E1:E1048576"/>
    </sheetView>
  </sheetViews>
  <sheetFormatPr baseColWidth="8" defaultRowHeight="15"/>
  <cols>
    <col width="23.140625" bestFit="1" customWidth="1" style="35" min="1" max="1"/>
    <col width="50.85546875" bestFit="1" customWidth="1" style="35" min="2" max="2"/>
    <col width="14.140625" bestFit="1" customWidth="1" style="35" min="3" max="3"/>
    <col width="33" bestFit="1" customWidth="1" style="35" min="4" max="4"/>
  </cols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System</t>
        </is>
      </c>
      <c r="D1" t="inlineStr">
        <is>
          <t>Subsystem</t>
        </is>
      </c>
      <c r="E1" t="inlineStr">
        <is>
          <t>Status / Notes</t>
        </is>
      </c>
    </row>
    <row r="2">
      <c r="A2" t="inlineStr">
        <is>
          <t>41A296326CYP77</t>
        </is>
      </c>
      <c r="B2" t="inlineStr">
        <is>
          <t>M12-A_ MALE_ 8-PIN_ STRAIGHT BSH</t>
        </is>
      </c>
      <c r="C2" t="inlineStr">
        <is>
          <t>SKID Assembly</t>
        </is>
      </c>
      <c r="D2" t="inlineStr">
        <is>
          <t>SKID (Skid)</t>
        </is>
      </c>
      <c r="E2" t="inlineStr">
        <is>
          <t>Quotation pending (no USD or BRL price)</t>
        </is>
      </c>
    </row>
    <row r="3">
      <c r="A3" t="inlineStr">
        <is>
          <t>41A296352PTP272</t>
        </is>
      </c>
      <c r="B3" t="inlineStr">
        <is>
          <t>BC-PRECISION NAVIGATION MODULE</t>
        </is>
      </c>
      <c r="C3" t="inlineStr">
        <is>
          <t>SKID Assembly</t>
        </is>
      </c>
      <c r="D3" t="inlineStr">
        <is>
          <t>SKID (Skid)</t>
        </is>
      </c>
      <c r="E3" t="inlineStr">
        <is>
          <t>Quotation pending (no USD or BRL price)</t>
        </is>
      </c>
    </row>
    <row r="4">
      <c r="A4" t="inlineStr">
        <is>
          <t>41A296352PTP58</t>
        </is>
      </c>
      <c r="B4" t="inlineStr">
        <is>
          <t>AY-DISPLAY CSX PTC DISPLAY</t>
        </is>
      </c>
      <c r="C4" t="inlineStr">
        <is>
          <t>SKID Assembly</t>
        </is>
      </c>
      <c r="D4" t="inlineStr">
        <is>
          <t>SKID (Skid)</t>
        </is>
      </c>
      <c r="E4" t="inlineStr">
        <is>
          <t>Quotation pending (no USD or BRL price)</t>
        </is>
      </c>
    </row>
    <row r="5">
      <c r="A5" t="inlineStr">
        <is>
          <t>41A296352PTP292</t>
        </is>
      </c>
      <c r="B5" t="inlineStr">
        <is>
          <t>AX-POWER SUPPLY 13.6 V</t>
        </is>
      </c>
      <c r="C5" t="inlineStr">
        <is>
          <t>SKID Assembly</t>
        </is>
      </c>
      <c r="D5" t="inlineStr">
        <is>
          <t>SKID (Skid)</t>
        </is>
      </c>
      <c r="E5" t="inlineStr">
        <is>
          <t>Quotation pending (no USD or BRL price)</t>
        </is>
      </c>
    </row>
    <row r="6">
      <c r="A6" t="inlineStr">
        <is>
          <t>MODEM ATT</t>
        </is>
      </c>
      <c r="B6" t="inlineStr">
        <is>
          <t>MODEM ATT</t>
        </is>
      </c>
      <c r="C6" t="inlineStr">
        <is>
          <t>SKID Assembly</t>
        </is>
      </c>
      <c r="D6" t="inlineStr">
        <is>
          <t>SKID (Skid)</t>
        </is>
      </c>
      <c r="E6" t="inlineStr">
        <is>
          <t>Quotation pending (no USD or BRL price)</t>
        </is>
      </c>
    </row>
    <row r="7">
      <c r="A7" t="inlineStr">
        <is>
          <t>84A237085AJP1</t>
        </is>
      </c>
      <c r="B7" t="inlineStr">
        <is>
          <t>C-GoLIN EP_3 SMA_M2 CELL MODEM</t>
        </is>
      </c>
      <c r="C7" t="inlineStr">
        <is>
          <t>SKID Assembly</t>
        </is>
      </c>
      <c r="D7" t="inlineStr">
        <is>
          <t>Controls (MCA, train control, er etc)</t>
        </is>
      </c>
      <c r="E7" t="inlineStr">
        <is>
          <t>Quotation pending (no USD or BRL price)</t>
        </is>
      </c>
    </row>
    <row r="8">
      <c r="A8" t="inlineStr">
        <is>
          <t>17FL400B</t>
        </is>
      </c>
      <c r="B8" t="inlineStr">
        <is>
          <t>ST-DEVELOPER v19.4</t>
        </is>
      </c>
      <c r="C8" t="inlineStr">
        <is>
          <t>SKID Assembly</t>
        </is>
      </c>
      <c r="D8" t="inlineStr">
        <is>
          <t>SKID (Skid)</t>
        </is>
      </c>
      <c r="E8" t="inlineStr">
        <is>
          <t>Quotation pending (no USD or BRL price)</t>
        </is>
      </c>
    </row>
    <row r="9">
      <c r="A9" t="inlineStr">
        <is>
          <t>41A296352CMP448</t>
        </is>
      </c>
      <c r="B9" t="inlineStr">
        <is>
          <t>FB-DIGITAL RADIO MODULE</t>
        </is>
      </c>
      <c r="C9" t="inlineStr">
        <is>
          <t>SKID Assembly</t>
        </is>
      </c>
      <c r="D9" t="inlineStr">
        <is>
          <t>SKID (Skid)</t>
        </is>
      </c>
      <c r="E9" t="inlineStr">
        <is>
          <t>Quotation pending (no USD or BRL price)</t>
        </is>
      </c>
    </row>
    <row r="10">
      <c r="A10" t="inlineStr">
        <is>
          <t>41A296352PTP326</t>
        </is>
      </c>
      <c r="B10" t="inlineStr">
        <is>
          <t>BH-WABTEC TRAIN MANAGEMENT COMPUTER _WTMC_</t>
        </is>
      </c>
      <c r="C10" t="inlineStr">
        <is>
          <t>SKID Assembly</t>
        </is>
      </c>
      <c r="D10" t="inlineStr">
        <is>
          <t>SKID (Skid)</t>
        </is>
      </c>
      <c r="E10" t="inlineStr">
        <is>
          <t>Quotation pending (no USD or BRL price)</t>
        </is>
      </c>
    </row>
    <row r="11">
      <c r="A11" t="inlineStr">
        <is>
          <t>17FM711C3</t>
        </is>
      </c>
      <c r="B11" t="inlineStr">
        <is>
          <t>H-PANEL DBM</t>
        </is>
      </c>
      <c r="C11" t="inlineStr">
        <is>
          <t>SKID Assembly</t>
        </is>
      </c>
      <c r="D11" t="inlineStr">
        <is>
          <t>SKID (Skid)</t>
        </is>
      </c>
      <c r="E11" t="inlineStr">
        <is>
          <t>Quotation pending (no USD or BRL price)</t>
        </is>
      </c>
    </row>
    <row r="12">
      <c r="A12" t="inlineStr">
        <is>
          <t>41A296352BCP9</t>
        </is>
      </c>
      <c r="B12" t="inlineStr">
        <is>
          <t>N-HEAD OF TRAIN DEVICE</t>
        </is>
      </c>
      <c r="C12" t="inlineStr">
        <is>
          <t>SKID Assembly</t>
        </is>
      </c>
      <c r="D12" t="inlineStr">
        <is>
          <t>SKID (Skid)</t>
        </is>
      </c>
      <c r="E12" t="inlineStr">
        <is>
          <t>Quotation pending (no USD or BRL price)</t>
        </is>
      </c>
    </row>
    <row r="13">
      <c r="A13" t="inlineStr">
        <is>
          <t>RL-1033772</t>
        </is>
      </c>
      <c r="B13" t="inlineStr">
        <is>
          <t>ASSEMBLY, RELAY BOARD</t>
        </is>
      </c>
      <c r="C13" t="inlineStr">
        <is>
          <t>SKID Assembly</t>
        </is>
      </c>
      <c r="D13" t="inlineStr">
        <is>
          <t>SKID (Skid)</t>
        </is>
      </c>
      <c r="E13" t="inlineStr">
        <is>
          <t>Quotation pending (no USD or BRL price)</t>
        </is>
      </c>
    </row>
    <row r="14">
      <c r="A14" t="inlineStr">
        <is>
          <t>41B549523ADP15</t>
        </is>
      </c>
      <c r="B14" t="inlineStr">
        <is>
          <t>SWITCH PUSH BUTTON</t>
        </is>
      </c>
      <c r="C14" t="inlineStr">
        <is>
          <t>SKID Assembly</t>
        </is>
      </c>
      <c r="D14" t="inlineStr">
        <is>
          <t>SKID (Skid)</t>
        </is>
      </c>
      <c r="E14" t="inlineStr">
        <is>
          <t>Quotation pending (no USD or BRL price)</t>
        </is>
      </c>
    </row>
    <row r="15">
      <c r="A15" t="inlineStr">
        <is>
          <t>BAP900F</t>
        </is>
      </c>
      <c r="B15" t="inlineStr">
        <is>
          <t>CONVERTER/CHARGER DC/DC 74/72-F4WTSA</t>
        </is>
      </c>
      <c r="C15" t="inlineStr">
        <is>
          <t>SKID Assembly</t>
        </is>
      </c>
      <c r="D15" t="inlineStr">
        <is>
          <t>SKID (Skid)</t>
        </is>
      </c>
      <c r="E15" t="inlineStr">
        <is>
          <t>Quotation pending (no USD or BRL price)</t>
        </is>
      </c>
    </row>
    <row r="16">
      <c r="A16" t="inlineStr">
        <is>
          <t>41A296352PTP360</t>
        </is>
      </c>
      <c r="B16" t="inlineStr">
        <is>
          <t>_BB-CUT-OUT SWITCH CABINET</t>
        </is>
      </c>
      <c r="C16" t="inlineStr">
        <is>
          <t>SKID Assembly</t>
        </is>
      </c>
      <c r="D16" t="inlineStr">
        <is>
          <t>SKID (Skid)</t>
        </is>
      </c>
      <c r="E16" t="inlineStr">
        <is>
          <t>Quotation pending (no USD or BRL price)</t>
        </is>
      </c>
    </row>
    <row r="17">
      <c r="A17" t="inlineStr">
        <is>
          <t>N265P21B</t>
        </is>
      </c>
      <c r="B17" t="inlineStr">
        <is>
          <t>NUT, HEX, LOCK, 1/4-20, GR5, Z</t>
        </is>
      </c>
      <c r="C17" t="inlineStr">
        <is>
          <t>SKID Assembly</t>
        </is>
      </c>
      <c r="D17" t="inlineStr">
        <is>
          <t>SKID (Skid)</t>
        </is>
      </c>
      <c r="E17" t="inlineStr">
        <is>
          <t>Quotation pending (no USD or BRL price)</t>
        </is>
      </c>
    </row>
    <row r="18">
      <c r="A18" t="inlineStr">
        <is>
          <t>N647AP21012B</t>
        </is>
      </c>
      <c r="B18" t="inlineStr">
        <is>
          <t>BOLT, BHCS, 1/4"-20 X 3/4", 18-8</t>
        </is>
      </c>
      <c r="C18" t="inlineStr">
        <is>
          <t>SKID Assembly</t>
        </is>
      </c>
      <c r="D18" t="inlineStr">
        <is>
          <t>SKID (Skid)</t>
        </is>
      </c>
      <c r="E18" t="inlineStr">
        <is>
          <t>Quotation pending (no USD or BRL price)</t>
        </is>
      </c>
    </row>
    <row r="19">
      <c r="A19" t="inlineStr">
        <is>
          <t>1009634-901</t>
        </is>
      </c>
      <c r="B19" t="inlineStr">
        <is>
          <t>SFM 701x Smart Fan Module</t>
        </is>
      </c>
      <c r="C19" t="inlineStr">
        <is>
          <t>SKID Assembly</t>
        </is>
      </c>
      <c r="D19" t="inlineStr">
        <is>
          <t>bottom on ACC</t>
        </is>
      </c>
      <c r="E19" t="inlineStr">
        <is>
          <t>Quotation pending (no USD or BRL price)</t>
        </is>
      </c>
    </row>
    <row r="20">
      <c r="A20" t="inlineStr">
        <is>
          <t>401581-100</t>
        </is>
      </c>
      <c r="B20" t="inlineStr">
        <is>
          <t>SFPIM 703x 15v Smart Fan Module</t>
        </is>
      </c>
      <c r="C20" t="inlineStr">
        <is>
          <t>SKID Assembly</t>
        </is>
      </c>
      <c r="D20" t="inlineStr">
        <is>
          <t>41A296352VHP1_E-GEW</t>
        </is>
      </c>
      <c r="E20" t="inlineStr">
        <is>
          <t>Quotation pending (no USD or BRL price)</t>
        </is>
      </c>
    </row>
    <row r="21">
      <c r="A21" t="inlineStr">
        <is>
          <t>PTC-FILT-NB-160-MIL-U</t>
        </is>
      </c>
      <c r="B21" t="inlineStr">
        <is>
          <t>160 MHz PTC Filter</t>
        </is>
      </c>
      <c r="C21" t="inlineStr">
        <is>
          <t>SKID Assembly</t>
        </is>
      </c>
      <c r="D21" t="inlineStr">
        <is>
          <t>later</t>
        </is>
      </c>
      <c r="E21" t="inlineStr">
        <is>
          <t>Quotation pending (no USD or BRL price)</t>
        </is>
      </c>
    </row>
    <row r="22">
      <c r="A22" t="inlineStr">
        <is>
          <t>PTC-FILT-NB-220-MIL-MF</t>
        </is>
      </c>
      <c r="B22" t="inlineStr">
        <is>
          <t>220 Mhz PTC FILTER</t>
        </is>
      </c>
      <c r="C22" t="inlineStr">
        <is>
          <t>SKID Assembly</t>
        </is>
      </c>
      <c r="D22" t="inlineStr">
        <is>
          <t>later</t>
        </is>
      </c>
      <c r="E22" t="inlineStr">
        <is>
          <t>Quotation pending (no USD or BRL price)</t>
        </is>
      </c>
    </row>
    <row r="23">
      <c r="B23" t="inlineStr">
        <is>
          <t>PTC Junction Box</t>
        </is>
      </c>
      <c r="C23" t="inlineStr">
        <is>
          <t>SKID Assembly</t>
        </is>
      </c>
      <c r="D23" t="inlineStr">
        <is>
          <t>SKID (Skid)</t>
        </is>
      </c>
      <c r="E23" t="inlineStr">
        <is>
          <t>Quotation pending (no USD or BRL price)</t>
        </is>
      </c>
    </row>
    <row r="24">
      <c r="A24" t="inlineStr">
        <is>
          <t>41A296352LUP15</t>
        </is>
      </c>
      <c r="B24" t="inlineStr">
        <is>
          <t>455 MHz Antenna (DPA, DPB, EOT )</t>
        </is>
      </c>
      <c r="C24" t="inlineStr">
        <is>
          <t>SKID Assembly</t>
        </is>
      </c>
      <c r="D24" t="inlineStr">
        <is>
          <t>SKID (Skid)</t>
        </is>
      </c>
      <c r="E24" t="inlineStr">
        <is>
          <t>Quotation pending (no USD or BRL price)</t>
        </is>
      </c>
    </row>
    <row r="25">
      <c r="A25" t="inlineStr">
        <is>
          <t>84D749224G1</t>
        </is>
      </c>
      <c r="B25" t="inlineStr">
        <is>
          <t>Power resistor</t>
        </is>
      </c>
      <c r="C25" t="inlineStr">
        <is>
          <t>SKID Assembly</t>
        </is>
      </c>
      <c r="D25" t="inlineStr">
        <is>
          <t>Battery Skid?</t>
        </is>
      </c>
      <c r="E25" t="inlineStr">
        <is>
          <t>Quotation pending (no USD or BRL price)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6"/>
  <sheetViews>
    <sheetView tabSelected="1" workbookViewId="0">
      <pane ySplit="2" topLeftCell="A3" activePane="bottomLeft" state="frozen"/>
      <selection pane="bottomLeft" activeCell="G7" sqref="G7"/>
    </sheetView>
  </sheetViews>
  <sheetFormatPr baseColWidth="8" defaultRowHeight="15"/>
  <cols>
    <col width="22" customWidth="1" style="35" min="1" max="1"/>
    <col width="42" customWidth="1" style="35" min="2" max="2"/>
    <col width="26" customWidth="1" style="35" min="3" max="3"/>
    <col width="22" customWidth="1" style="35" min="4" max="4"/>
    <col width="10" customWidth="1" style="35" min="5" max="5"/>
    <col width="16" customWidth="1" style="35" min="6" max="7"/>
    <col width="13" customWidth="1" style="35" min="8" max="9"/>
    <col width="24" customWidth="1" style="35" min="10" max="10"/>
    <col width="12" customWidth="1" style="35" min="11" max="11"/>
    <col width="13" customWidth="1" style="35" min="12" max="12"/>
    <col width="32" customWidth="1" style="35" min="13" max="13"/>
    <col width="42" customWidth="1" style="35" min="14" max="14"/>
  </cols>
  <sheetData>
    <row r="1">
      <c r="A1" s="36" t="inlineStr">
        <is>
          <t>US raw-cost freight handoff, sorted by US Total Cost (highest to lowest). Yellow = TP already included in source cost (rate not specified); Green = direct supplier, no TP; Blue = GET / TP to be confirmed; Uncolored = no TP status specified in the color review. PAC-sourced items are excluded.</t>
        </is>
      </c>
    </row>
    <row r="2" ht="45" customHeight="1" s="35">
      <c r="A2" s="31" t="inlineStr">
        <is>
          <t>Part Number</t>
        </is>
      </c>
      <c r="B2" s="31" t="inlineStr">
        <is>
          <t>Description</t>
        </is>
      </c>
      <c r="C2" s="31" t="inlineStr">
        <is>
          <t>System</t>
        </is>
      </c>
      <c r="D2" s="31" t="inlineStr">
        <is>
          <t>SubSystem</t>
        </is>
      </c>
      <c r="E2" s="31" t="inlineStr">
        <is>
          <t>Quantity</t>
        </is>
      </c>
      <c r="F2" s="31" t="inlineStr">
        <is>
          <t>US Unit Cost (USD, no markup)</t>
        </is>
      </c>
      <c r="G2" s="31" t="inlineStr">
        <is>
          <t>US Total Cost (USD, no markup)</t>
        </is>
      </c>
      <c r="H2" s="31" t="inlineStr">
        <is>
          <t>Unit Weight (kg)</t>
        </is>
      </c>
      <c r="I2" s="31" t="inlineStr">
        <is>
          <t>Total Weight (kg)</t>
        </is>
      </c>
      <c r="J2" s="31" t="inlineStr">
        <is>
          <t>Dimensions (C x A x L, in)</t>
        </is>
      </c>
      <c r="K2" s="31" t="inlineStr">
        <is>
          <t>NCM</t>
        </is>
      </c>
      <c r="L2" s="31" t="inlineStr">
        <is>
          <t>Weight Confidence</t>
        </is>
      </c>
      <c r="M2" s="31" t="inlineStr">
        <is>
          <t>Notes</t>
        </is>
      </c>
      <c r="N2" t="inlineStr">
        <is>
          <t>Transfer Price Status</t>
        </is>
      </c>
    </row>
    <row r="3">
      <c r="A3" s="37" t="inlineStr">
        <is>
          <t>41A296352CMP437</t>
        </is>
      </c>
      <c r="B3" s="37" t="inlineStr">
        <is>
          <t>Dual Processor Module (DPM)+ LXA (Distributed Power Radio)</t>
        </is>
      </c>
      <c r="C3" s="37" t="inlineStr">
        <is>
          <t>Controls (MCA, train control, er etc)</t>
        </is>
      </c>
      <c r="D3" s="37" t="inlineStr">
        <is>
          <t>LXA</t>
        </is>
      </c>
      <c r="E3" s="37" t="n">
        <v>1</v>
      </c>
      <c r="F3" s="37" t="n">
        <v>63100.8192</v>
      </c>
      <c r="G3" s="37" t="n">
        <v>63100.8192</v>
      </c>
      <c r="H3" s="37" t="n">
        <v>4.536</v>
      </c>
      <c r="I3" s="37" t="n">
        <v>4.536</v>
      </c>
      <c r="J3" s="37" t="n"/>
      <c r="K3" s="37" t="inlineStr">
        <is>
          <t>90328990</t>
        </is>
      </c>
      <c r="L3" s="37" t="inlineStr">
        <is>
          <t>High</t>
        </is>
      </c>
      <c r="M3" s="37" t="n"/>
      <c r="N3" s="37" t="inlineStr">
        <is>
          <t>Included in source cost (rate not specified)</t>
        </is>
      </c>
    </row>
    <row r="4">
      <c r="A4" s="38" t="inlineStr">
        <is>
          <t>84A222059P5</t>
        </is>
      </c>
      <c r="B4" s="38" t="inlineStr">
        <is>
          <t>BATTERIES</t>
        </is>
      </c>
      <c r="C4" s="38" t="inlineStr">
        <is>
          <t>Power</t>
        </is>
      </c>
      <c r="D4" s="38" t="inlineStr">
        <is>
          <t>POWER</t>
        </is>
      </c>
      <c r="E4" s="38" t="n">
        <v>2</v>
      </c>
      <c r="F4" s="38" t="n">
        <v>15685.42</v>
      </c>
      <c r="G4" s="38" t="n">
        <v>31370.84</v>
      </c>
      <c r="H4" s="38" t="n">
        <v>1123.095</v>
      </c>
      <c r="I4" s="38" t="n">
        <v>2246.19</v>
      </c>
      <c r="J4" s="38" t="n"/>
      <c r="K4" s="38" t="n"/>
      <c r="L4" s="38" t="inlineStr">
        <is>
          <t>High</t>
        </is>
      </c>
      <c r="M4" s="38" t="n"/>
      <c r="N4" s="38" t="inlineStr">
        <is>
          <t>Not applicable - direct supplier purchase</t>
        </is>
      </c>
    </row>
    <row r="5">
      <c r="A5" s="38" t="inlineStr">
        <is>
          <t>41A296352LUG24</t>
        </is>
      </c>
      <c r="B5" s="38" t="inlineStr">
        <is>
          <t>CSX Antenna Enclosure Arrangement</t>
        </is>
      </c>
      <c r="C5" s="38" t="inlineStr">
        <is>
          <t>Connectivity</t>
        </is>
      </c>
      <c r="D5" s="38" t="inlineStr">
        <is>
          <t>ANTENNA KIT Master</t>
        </is>
      </c>
      <c r="E5" s="38" t="n">
        <v>1</v>
      </c>
      <c r="F5" s="38" t="n">
        <v>30000</v>
      </c>
      <c r="G5" s="38" t="n">
        <v>30000</v>
      </c>
      <c r="H5" s="38" t="n">
        <v>136.078</v>
      </c>
      <c r="I5" s="38" t="n">
        <v>136.078</v>
      </c>
      <c r="J5" s="38" t="n"/>
      <c r="K5" s="38" t="n"/>
      <c r="L5" s="38" t="inlineStr">
        <is>
          <t>High</t>
        </is>
      </c>
      <c r="M5" s="38" t="n"/>
      <c r="N5" s="38" t="inlineStr">
        <is>
          <t>Not applicable - direct supplier purchase</t>
        </is>
      </c>
    </row>
    <row r="6">
      <c r="A6" s="37" t="inlineStr">
        <is>
          <t>37495P</t>
        </is>
      </c>
      <c r="B6" s="37" t="inlineStr">
        <is>
          <t>KIT ETMS VIRGIN TRAINS FEC EVO44</t>
        </is>
      </c>
      <c r="C6" s="37" t="inlineStr">
        <is>
          <t>PTC</t>
        </is>
      </c>
      <c r="D6" s="37" t="inlineStr">
        <is>
          <t>PTC KIT MASTER</t>
        </is>
      </c>
      <c r="E6" s="37" t="n">
        <v>1</v>
      </c>
      <c r="F6" s="37" t="n">
        <v>28529</v>
      </c>
      <c r="G6" s="37" t="n">
        <v>28529</v>
      </c>
      <c r="H6" s="37" t="n">
        <v>45.359</v>
      </c>
      <c r="I6" s="37" t="n">
        <v>45.359</v>
      </c>
      <c r="J6" s="37" t="n"/>
      <c r="K6" s="37" t="n"/>
      <c r="L6" s="37" t="inlineStr">
        <is>
          <t>High</t>
        </is>
      </c>
      <c r="M6" s="37" t="n"/>
      <c r="N6" s="37" t="inlineStr">
        <is>
          <t>Included in source cost (rate not specified)</t>
        </is>
      </c>
    </row>
    <row r="7">
      <c r="A7" s="37" t="inlineStr">
        <is>
          <t>84A215295P62</t>
        </is>
      </c>
      <c r="B7" s="37" t="inlineStr">
        <is>
          <t>Pneumatic Brake Control System (Including lament and control portions) Includes EM EAB Control Functionality</t>
        </is>
      </c>
      <c r="C7" s="37" t="inlineStr">
        <is>
          <t>Air</t>
        </is>
      </c>
      <c r="D7" s="37" t="inlineStr">
        <is>
          <t>Fastbrake</t>
        </is>
      </c>
      <c r="E7" s="37" t="n">
        <v>1</v>
      </c>
      <c r="F7" s="37" t="n">
        <v>23409.1</v>
      </c>
      <c r="G7" s="37" t="n">
        <v>23409.1</v>
      </c>
      <c r="H7" s="37" t="n">
        <v>134.263</v>
      </c>
      <c r="I7" s="37" t="n">
        <v>134.263</v>
      </c>
      <c r="J7" s="37" t="n"/>
      <c r="K7" s="37" t="n"/>
      <c r="L7" s="37" t="inlineStr">
        <is>
          <t>High</t>
        </is>
      </c>
      <c r="M7" s="37" t="n"/>
      <c r="N7" s="37" t="inlineStr">
        <is>
          <t>Included in source cost (rate not specified)</t>
        </is>
      </c>
    </row>
    <row r="8">
      <c r="A8" s="38" t="inlineStr">
        <is>
          <t>41A296352DNP37</t>
        </is>
      </c>
      <c r="B8" s="38" t="inlineStr">
        <is>
          <t>RADIO PRAD PTC RADIO</t>
        </is>
      </c>
      <c r="C8" s="38" t="inlineStr">
        <is>
          <t>PTC</t>
        </is>
      </c>
      <c r="D8" s="38" t="inlineStr">
        <is>
          <t>PTC</t>
        </is>
      </c>
      <c r="E8" s="38" t="n">
        <v>1</v>
      </c>
      <c r="F8" s="38" t="n">
        <v>20000</v>
      </c>
      <c r="G8" s="38" t="n">
        <v>20000</v>
      </c>
      <c r="H8" s="38" t="n">
        <v>9.616</v>
      </c>
      <c r="I8" s="38" t="n">
        <v>9.616</v>
      </c>
      <c r="J8" s="38" t="n"/>
      <c r="K8" s="38" t="n"/>
      <c r="L8" s="38" t="inlineStr">
        <is>
          <t>High</t>
        </is>
      </c>
      <c r="M8" s="38" t="n"/>
      <c r="N8" s="38" t="inlineStr">
        <is>
          <t>Not applicable - direct supplier purchase</t>
        </is>
      </c>
    </row>
    <row r="9">
      <c r="A9" s="38" t="inlineStr">
        <is>
          <t>17FM878A6</t>
        </is>
      </c>
      <c r="B9" s="38" t="inlineStr">
        <is>
          <t>NIO 2.0</t>
        </is>
      </c>
      <c r="C9" s="38" t="inlineStr">
        <is>
          <t>Controls (MCA, train control, er etc)</t>
        </is>
      </c>
      <c r="D9" s="38" t="inlineStr">
        <is>
          <t>MCA</t>
        </is>
      </c>
      <c r="E9" s="38" t="n">
        <v>3</v>
      </c>
      <c r="F9" s="38" t="n">
        <v>5176.9118</v>
      </c>
      <c r="G9" s="38" t="n">
        <v>15530.7354</v>
      </c>
      <c r="H9" s="38" t="n">
        <v>8.618</v>
      </c>
      <c r="I9" s="38" t="n">
        <v>25.854</v>
      </c>
      <c r="J9" s="38" t="n"/>
      <c r="K9" s="38" t="n"/>
      <c r="L9" s="38" t="inlineStr">
        <is>
          <t>High</t>
        </is>
      </c>
      <c r="M9" s="38" t="n"/>
      <c r="N9" s="38" t="inlineStr">
        <is>
          <t>Not applicable - direct supplier purchase</t>
        </is>
      </c>
    </row>
    <row r="10">
      <c r="A10" s="37" t="inlineStr">
        <is>
          <t>L7000083-900</t>
        </is>
      </c>
      <c r="B10" s="37" t="inlineStr">
        <is>
          <t>Wireless Communications Management Module, Gen 3 (WCM3)​</t>
        </is>
      </c>
      <c r="C10" s="37" t="inlineStr">
        <is>
          <t>Controls (MCA, train control, er etc)</t>
        </is>
      </c>
      <c r="D10" s="37" t="inlineStr">
        <is>
          <t>TRAIN CONTROL</t>
        </is>
      </c>
      <c r="E10" s="37" t="n">
        <v>2</v>
      </c>
      <c r="F10" s="37" t="n">
        <v>5000</v>
      </c>
      <c r="G10" s="37" t="n">
        <v>10000</v>
      </c>
      <c r="H10" s="37" t="n">
        <v>2.268</v>
      </c>
      <c r="I10" s="37" t="n">
        <v>4.536</v>
      </c>
      <c r="J10" s="37" t="n"/>
      <c r="K10" s="37" t="n"/>
      <c r="L10" s="37" t="inlineStr">
        <is>
          <t>High</t>
        </is>
      </c>
      <c r="M10" s="37" t="n"/>
      <c r="N10" s="37" t="inlineStr">
        <is>
          <t>Included in source cost (rate not specified)</t>
        </is>
      </c>
    </row>
    <row r="11">
      <c r="A11" s="37" t="inlineStr">
        <is>
          <t>84A237085AEP121</t>
        </is>
      </c>
      <c r="B11" s="37" t="inlineStr">
        <is>
          <t>8 Slot ACC Chassis for MCA w/ i7 HPEAP and SMM2 Cards</t>
        </is>
      </c>
      <c r="C11" s="37" t="inlineStr">
        <is>
          <t>Controls (MCA, train control, er etc)</t>
        </is>
      </c>
      <c r="D11" s="37" t="inlineStr">
        <is>
          <t>TRAIN CONTROL</t>
        </is>
      </c>
      <c r="E11" s="37" t="n">
        <v>1</v>
      </c>
      <c r="F11" s="37" t="n">
        <v>8000</v>
      </c>
      <c r="G11" s="37" t="n">
        <v>8000</v>
      </c>
      <c r="H11" s="37" t="n">
        <v>9.071999999999999</v>
      </c>
      <c r="I11" s="37" t="n">
        <v>9.071999999999999</v>
      </c>
      <c r="J11" s="37" t="n"/>
      <c r="K11" s="37" t="n"/>
      <c r="L11" s="37" t="inlineStr">
        <is>
          <t>High</t>
        </is>
      </c>
      <c r="M11" s="37" t="n"/>
      <c r="N11" s="37" t="inlineStr">
        <is>
          <t>Included in source cost (rate not specified)</t>
        </is>
      </c>
    </row>
    <row r="12">
      <c r="A12" s="39" t="inlineStr">
        <is>
          <t>17KC108E28</t>
        </is>
      </c>
      <c r="B12" s="39" t="inlineStr">
        <is>
          <t>MASTER CONTROLLER</t>
        </is>
      </c>
      <c r="C12" s="39" t="inlineStr">
        <is>
          <t>Controls (MCA, train control, er etc)</t>
        </is>
      </c>
      <c r="D12" s="39" t="inlineStr">
        <is>
          <t>TRAIN CONTROL</t>
        </is>
      </c>
      <c r="E12" s="39" t="n">
        <v>1</v>
      </c>
      <c r="F12" s="39" t="n">
        <v>5877.102</v>
      </c>
      <c r="G12" s="39" t="n">
        <v>5877.102</v>
      </c>
      <c r="H12" s="39" t="n">
        <v>25.855</v>
      </c>
      <c r="I12" s="39" t="n">
        <v>25.855</v>
      </c>
      <c r="J12" s="39" t="n"/>
      <c r="K12" s="39" t="n"/>
      <c r="L12" s="39" t="inlineStr">
        <is>
          <t>High</t>
        </is>
      </c>
      <c r="M12" s="39" t="n"/>
      <c r="N12" s="39" t="inlineStr">
        <is>
          <t>GET / transfer price to be confirmed</t>
        </is>
      </c>
    </row>
    <row r="13">
      <c r="A13" s="37" t="inlineStr">
        <is>
          <t>84A215295P73</t>
        </is>
      </c>
      <c r="B13" s="37" t="inlineStr">
        <is>
          <t>Air Brake Handle Assembly (AAR Console)</t>
        </is>
      </c>
      <c r="C13" s="37" t="inlineStr">
        <is>
          <t>Air</t>
        </is>
      </c>
      <c r="D13" s="37" t="inlineStr">
        <is>
          <t>Fastbrake</t>
        </is>
      </c>
      <c r="E13" s="37" t="n">
        <v>1</v>
      </c>
      <c r="F13" s="37" t="n">
        <v>5702.83</v>
      </c>
      <c r="G13" s="37" t="n">
        <v>5702.83</v>
      </c>
      <c r="H13" s="37" t="n">
        <v>7.938</v>
      </c>
      <c r="I13" s="37" t="n">
        <v>7.938</v>
      </c>
      <c r="J13" s="37" t="n"/>
      <c r="K13" s="37" t="n"/>
      <c r="L13" s="37" t="inlineStr">
        <is>
          <t>High</t>
        </is>
      </c>
      <c r="M13" s="37" t="n"/>
      <c r="N13" s="37" t="inlineStr">
        <is>
          <t>Included in source cost (rate not specified)</t>
        </is>
      </c>
    </row>
    <row r="14">
      <c r="A14" s="38" t="inlineStr">
        <is>
          <t>17FM868B2</t>
        </is>
      </c>
      <c r="B14" s="38" t="inlineStr">
        <is>
          <t>SNIO</t>
        </is>
      </c>
      <c r="C14" s="38" t="inlineStr">
        <is>
          <t>Controls (MCA, train control, er etc)</t>
        </is>
      </c>
      <c r="D14" s="38" t="inlineStr">
        <is>
          <t>MCA</t>
        </is>
      </c>
      <c r="E14" s="38" t="n">
        <v>1</v>
      </c>
      <c r="F14" s="38" t="n">
        <v>4150.9559</v>
      </c>
      <c r="G14" s="38" t="n">
        <v>4150.9559</v>
      </c>
      <c r="H14" s="38" t="n">
        <v>4.99</v>
      </c>
      <c r="I14" s="38" t="n">
        <v>4.99</v>
      </c>
      <c r="J14" s="38" t="n"/>
      <c r="K14" s="38" t="n"/>
      <c r="L14" s="38" t="inlineStr">
        <is>
          <t>High</t>
        </is>
      </c>
      <c r="M14" s="38" t="n"/>
      <c r="N14" s="38" t="inlineStr">
        <is>
          <t>Not applicable - direct supplier purchase</t>
        </is>
      </c>
    </row>
    <row r="15">
      <c r="A15" s="38" t="inlineStr">
        <is>
          <t>41A296352DNP55</t>
        </is>
      </c>
      <c r="B15" s="38" t="inlineStr">
        <is>
          <t>VOICE RADIO RITRON</t>
        </is>
      </c>
      <c r="C15" s="38" t="inlineStr">
        <is>
          <t>Connectivity</t>
        </is>
      </c>
      <c r="D15" s="38" t="inlineStr">
        <is>
          <t>VOICE RADIO</t>
        </is>
      </c>
      <c r="E15" s="38" t="n">
        <v>1</v>
      </c>
      <c r="F15" s="38" t="n">
        <v>3933</v>
      </c>
      <c r="G15" s="38" t="n">
        <v>3933</v>
      </c>
      <c r="H15" s="38" t="n">
        <v>7.575</v>
      </c>
      <c r="I15" s="38" t="n">
        <v>7.575</v>
      </c>
      <c r="J15" s="38" t="n"/>
      <c r="K15" s="38" t="n"/>
      <c r="L15" s="38" t="inlineStr">
        <is>
          <t>High</t>
        </is>
      </c>
      <c r="M15" s="38" t="n"/>
      <c r="N15" s="38" t="inlineStr">
        <is>
          <t>Not applicable - direct supplier purchase</t>
        </is>
      </c>
    </row>
    <row r="16">
      <c r="A16" s="37" t="inlineStr">
        <is>
          <t>32613P</t>
        </is>
      </c>
      <c r="B16" s="37" t="inlineStr">
        <is>
          <t>KIT ETMS AXLE INTERFACE FOR WPart Number 29266P</t>
        </is>
      </c>
      <c r="C16" s="37" t="inlineStr">
        <is>
          <t>PTC</t>
        </is>
      </c>
      <c r="D16" s="37" t="inlineStr">
        <is>
          <t>PTC</t>
        </is>
      </c>
      <c r="E16" s="37" t="n">
        <v>1</v>
      </c>
      <c r="F16" s="37" t="n">
        <v>2981.71</v>
      </c>
      <c r="G16" s="37" t="n">
        <v>2981.71</v>
      </c>
      <c r="H16" s="37" t="n">
        <v>4.536</v>
      </c>
      <c r="I16" s="37" t="n">
        <v>4.536</v>
      </c>
      <c r="J16" s="37" t="n"/>
      <c r="K16" s="37" t="n"/>
      <c r="L16" s="37" t="inlineStr">
        <is>
          <t>High</t>
        </is>
      </c>
      <c r="M16" s="37" t="n"/>
      <c r="N16" s="37" t="inlineStr">
        <is>
          <t>Included in source cost (rate not specified)</t>
        </is>
      </c>
    </row>
    <row r="17">
      <c r="A17" s="38" t="inlineStr">
        <is>
          <t>41B546155P2</t>
        </is>
      </c>
      <c r="B17" s="38" t="inlineStr">
        <is>
          <t>Horn</t>
        </is>
      </c>
      <c r="C17" s="38" t="inlineStr">
        <is>
          <t>Controls (MCA, train control, er etc)</t>
        </is>
      </c>
      <c r="D17" s="38" t="inlineStr">
        <is>
          <t>TRAIN CONTROL</t>
        </is>
      </c>
      <c r="E17" s="38" t="n">
        <v>1</v>
      </c>
      <c r="F17" s="38" t="n">
        <v>1891.99</v>
      </c>
      <c r="G17" s="38" t="n">
        <v>1891.99</v>
      </c>
      <c r="H17" s="38" t="n">
        <v>4.536</v>
      </c>
      <c r="I17" s="38" t="n">
        <v>4.536</v>
      </c>
      <c r="J17" s="38" t="n"/>
      <c r="K17" s="38" t="n"/>
      <c r="L17" s="38" t="inlineStr">
        <is>
          <t>High</t>
        </is>
      </c>
      <c r="M17" s="38" t="n"/>
      <c r="N17" s="38" t="inlineStr">
        <is>
          <t>Not applicable - direct supplier purchase</t>
        </is>
      </c>
    </row>
    <row r="18">
      <c r="B18" t="inlineStr">
        <is>
          <t>Ditchlight Control Box (SMART BOX-V3-DLC )</t>
        </is>
      </c>
      <c r="C18" t="inlineStr">
        <is>
          <t>Controls (MCA, train control, er etc)</t>
        </is>
      </c>
      <c r="D18" t="inlineStr">
        <is>
          <t>TRAIN CONTROL</t>
        </is>
      </c>
      <c r="E18" t="n">
        <v>2</v>
      </c>
      <c r="F18" t="n">
        <v>800</v>
      </c>
      <c r="G18" t="n">
        <v>1600</v>
      </c>
      <c r="H18" t="n">
        <v>2.268</v>
      </c>
      <c r="I18" t="n">
        <v>4.536</v>
      </c>
      <c r="L18" t="inlineStr">
        <is>
          <t>High</t>
        </is>
      </c>
      <c r="N18" t="inlineStr">
        <is>
          <t>Not specified in color review</t>
        </is>
      </c>
    </row>
    <row r="19">
      <c r="A19" s="39" t="inlineStr">
        <is>
          <t>41D758679BJG16 	84D704379AFG1</t>
        </is>
      </c>
      <c r="B19" s="39" t="inlineStr">
        <is>
          <t>EC Part NumberL ASM</t>
        </is>
      </c>
      <c r="C19" s="39" t="inlineStr">
        <is>
          <t>Power</t>
        </is>
      </c>
      <c r="D19" s="39" t="inlineStr">
        <is>
          <t>Circuit Breaker</t>
        </is>
      </c>
      <c r="E19" s="39" t="n">
        <v>1</v>
      </c>
      <c r="F19" s="39" t="n">
        <v>1572.36</v>
      </c>
      <c r="G19" s="39" t="n">
        <v>1572.36</v>
      </c>
      <c r="H19" s="39" t="n">
        <v>4.99</v>
      </c>
      <c r="I19" s="39" t="n">
        <v>4.99</v>
      </c>
      <c r="J19" s="39" t="inlineStr">
        <is>
          <t>20x3.5x25.5</t>
        </is>
      </c>
      <c r="K19" s="39" t="inlineStr">
        <is>
          <t>86079100</t>
        </is>
      </c>
      <c r="L19" s="39" t="inlineStr">
        <is>
          <t>High</t>
        </is>
      </c>
      <c r="M19" s="39" t="n"/>
      <c r="N19" s="39" t="inlineStr">
        <is>
          <t>GET / transfer price to be confirmed</t>
        </is>
      </c>
    </row>
    <row r="20">
      <c r="B20" t="inlineStr">
        <is>
          <t>LED Ditch Light</t>
        </is>
      </c>
      <c r="C20" t="inlineStr">
        <is>
          <t>Controls (MCA, train control, er etc)</t>
        </is>
      </c>
      <c r="D20" t="inlineStr">
        <is>
          <t>TRAIN CONTROL</t>
        </is>
      </c>
      <c r="E20" t="n">
        <v>4</v>
      </c>
      <c r="F20" t="n">
        <v>375</v>
      </c>
      <c r="G20" t="n">
        <v>1500</v>
      </c>
      <c r="H20" t="n">
        <v>0.907</v>
      </c>
      <c r="I20" t="n">
        <v>3.628</v>
      </c>
      <c r="L20" t="inlineStr">
        <is>
          <t>High</t>
        </is>
      </c>
      <c r="N20" t="inlineStr">
        <is>
          <t>Not specified in color review</t>
        </is>
      </c>
    </row>
    <row r="21">
      <c r="A21" s="37" t="inlineStr">
        <is>
          <t>84A215295P3</t>
        </is>
      </c>
      <c r="B21" s="37" t="inlineStr">
        <is>
          <t>POU-to-Handle cable 18' length</t>
        </is>
      </c>
      <c r="C21" s="37" t="inlineStr">
        <is>
          <t>Air</t>
        </is>
      </c>
      <c r="D21" s="37" t="inlineStr">
        <is>
          <t>Fastbrake</t>
        </is>
      </c>
      <c r="E21" s="37" t="n">
        <v>1</v>
      </c>
      <c r="F21" s="37" t="n">
        <v>1036.89</v>
      </c>
      <c r="G21" s="37" t="n">
        <v>1036.89</v>
      </c>
      <c r="H21" s="37" t="n">
        <v>1.247</v>
      </c>
      <c r="I21" s="37" t="n">
        <v>1.247</v>
      </c>
      <c r="J21" s="37" t="n"/>
      <c r="K21" s="37" t="n"/>
      <c r="L21" s="37" t="inlineStr">
        <is>
          <t>Medium</t>
        </is>
      </c>
      <c r="M21" s="37" t="inlineStr">
        <is>
          <t>Weight is an estimate (similar item)</t>
        </is>
      </c>
      <c r="N21" s="37" t="inlineStr">
        <is>
          <t>Included in source cost (rate not specified)</t>
        </is>
      </c>
    </row>
    <row r="22">
      <c r="A22" s="38" t="inlineStr">
        <is>
          <t>RCCR-RMTCBL-RA-CUSTOM</t>
        </is>
      </c>
      <c r="B22" s="38" t="inlineStr">
        <is>
          <t>VOICE RADIO RITRON CABLE,REMOTE,RR-225/XXX, RCCR,RIGHT
ANGLE,19-PIN,FLAME RETARDANT</t>
        </is>
      </c>
      <c r="C22" s="38" t="inlineStr">
        <is>
          <t>Connectivity</t>
        </is>
      </c>
      <c r="D22" s="38" t="inlineStr">
        <is>
          <t>VOICE RADIO</t>
        </is>
      </c>
      <c r="E22" s="38" t="n">
        <v>1</v>
      </c>
      <c r="F22" s="38" t="n">
        <v>761</v>
      </c>
      <c r="G22" s="38" t="n">
        <v>761</v>
      </c>
      <c r="H22" s="38" t="n"/>
      <c r="I22" s="38" t="n"/>
      <c r="J22" s="38" t="n"/>
      <c r="K22" s="38" t="n"/>
      <c r="L22" s="38" t="n"/>
      <c r="M22" s="38" t="inlineStr">
        <is>
          <t>Weight not found - needs supplier data</t>
        </is>
      </c>
      <c r="N22" s="38" t="inlineStr">
        <is>
          <t>Not applicable - direct supplier purchase</t>
        </is>
      </c>
    </row>
    <row r="23">
      <c r="A23" s="37" t="inlineStr">
        <is>
          <t>41A296352PTP306/41A296352PTP122</t>
        </is>
      </c>
      <c r="B23" s="37" t="inlineStr">
        <is>
          <t>Assembled Air Manifold (Contains 3 pressure sensors mounted in appropriate locations on Air Manifold.)</t>
        </is>
      </c>
      <c r="C23" s="37" t="inlineStr">
        <is>
          <t>PTC</t>
        </is>
      </c>
      <c r="D23" s="37" t="inlineStr">
        <is>
          <t>PTC</t>
        </is>
      </c>
      <c r="E23" s="37" t="n">
        <v>1</v>
      </c>
      <c r="F23" s="37" t="n">
        <v>595.7889</v>
      </c>
      <c r="G23" s="37" t="n">
        <v>595.7889</v>
      </c>
      <c r="H23" s="37" t="n">
        <v>5.897</v>
      </c>
      <c r="I23" s="37" t="n">
        <v>5.897</v>
      </c>
      <c r="J23" s="37" t="n"/>
      <c r="K23" s="37" t="inlineStr">
        <is>
          <t>85381000</t>
        </is>
      </c>
      <c r="L23" s="37" t="inlineStr">
        <is>
          <t>Medium</t>
        </is>
      </c>
      <c r="M23" s="37" t="inlineStr">
        <is>
          <t>Weight is an estimate (similar item)</t>
        </is>
      </c>
      <c r="N23" s="37" t="inlineStr">
        <is>
          <t>Included in source cost (rate not specified)</t>
        </is>
      </c>
    </row>
    <row r="24">
      <c r="A24" s="37" t="inlineStr">
        <is>
          <t>32447P</t>
        </is>
      </c>
      <c r="B24" s="37" t="inlineStr">
        <is>
          <t>ASY CABLE WHEEL TACH AC EVO/SD70 ACE</t>
        </is>
      </c>
      <c r="C24" s="37" t="inlineStr">
        <is>
          <t>PTC</t>
        </is>
      </c>
      <c r="D24" s="37" t="inlineStr">
        <is>
          <t>PTC</t>
        </is>
      </c>
      <c r="E24" s="37" t="n">
        <v>1</v>
      </c>
      <c r="F24" s="37" t="n">
        <v>411.22</v>
      </c>
      <c r="G24" s="37" t="n">
        <v>411.22</v>
      </c>
      <c r="H24" s="37" t="n"/>
      <c r="I24" s="37" t="n"/>
      <c r="J24" s="37" t="n"/>
      <c r="K24" s="37" t="n"/>
      <c r="L24" s="37" t="n"/>
      <c r="M24" s="37" t="inlineStr">
        <is>
          <t>Weight not found - needs supplier data</t>
        </is>
      </c>
      <c r="N24" s="37" t="inlineStr">
        <is>
          <t>Included in source cost (rate not specified)</t>
        </is>
      </c>
    </row>
    <row r="25">
      <c r="A25" s="37" t="inlineStr">
        <is>
          <t>41A296352PTP10/319/34</t>
        </is>
      </c>
      <c r="B25" s="37" t="inlineStr">
        <is>
          <t>VALVE Part NumberEUMATIC NC/CO (Penalty Magnet Valve) Graham-White 812-142</t>
        </is>
      </c>
      <c r="C25" s="37" t="inlineStr">
        <is>
          <t>PTC</t>
        </is>
      </c>
      <c r="D25" s="37" t="inlineStr">
        <is>
          <t>PTC</t>
        </is>
      </c>
      <c r="E25" s="37" t="n">
        <v>1</v>
      </c>
      <c r="F25" s="37" t="n">
        <v>404.6239</v>
      </c>
      <c r="G25" s="37" t="n">
        <v>404.6239</v>
      </c>
      <c r="H25" s="37" t="n"/>
      <c r="I25" s="37" t="n"/>
      <c r="J25" s="37" t="n"/>
      <c r="K25" s="37" t="n"/>
      <c r="L25" s="37" t="n"/>
      <c r="M25" s="37" t="inlineStr">
        <is>
          <t>Weight not found - needs supplier data</t>
        </is>
      </c>
      <c r="N25" s="37" t="inlineStr">
        <is>
          <t>Included in source cost (rate not specified)</t>
        </is>
      </c>
    </row>
    <row r="26">
      <c r="A26" t="inlineStr">
        <is>
          <t>84A231123CSP30</t>
        </is>
      </c>
      <c r="B26" t="inlineStr">
        <is>
          <t>Axle Tac - WRE Part Number: 29266P</t>
        </is>
      </c>
      <c r="C26" t="inlineStr">
        <is>
          <t>PTC</t>
        </is>
      </c>
      <c r="D26" t="inlineStr">
        <is>
          <t>PTC</t>
        </is>
      </c>
      <c r="E26" t="n">
        <v>1</v>
      </c>
      <c r="F26" t="n">
        <v>205</v>
      </c>
      <c r="G26" t="n">
        <v>205</v>
      </c>
      <c r="M26" t="inlineStr">
        <is>
          <t>Weight not found - needs supplier data</t>
        </is>
      </c>
      <c r="N26" t="inlineStr">
        <is>
          <t>Not specified in color review</t>
        </is>
      </c>
    </row>
    <row r="27">
      <c r="A27" t="inlineStr">
        <is>
          <t>84A207079ABP1</t>
        </is>
      </c>
      <c r="B27" t="inlineStr">
        <is>
          <t>41A313392DCP18 alternative 300" /</t>
        </is>
      </c>
      <c r="C27" t="inlineStr">
        <is>
          <t>Controls (MCA, train control, er etc)</t>
        </is>
      </c>
      <c r="D27" t="inlineStr">
        <is>
          <t>Wiring</t>
        </is>
      </c>
      <c r="E27" t="n">
        <v>25</v>
      </c>
      <c r="F27" t="n">
        <v>8.118</v>
      </c>
      <c r="G27" t="n">
        <v>202.95</v>
      </c>
      <c r="H27" t="n">
        <v>0.227</v>
      </c>
      <c r="I27" t="n">
        <v>5.675</v>
      </c>
      <c r="J27" t="inlineStr">
        <is>
          <t>24x20x24</t>
        </is>
      </c>
      <c r="K27" t="inlineStr">
        <is>
          <t>85446000</t>
        </is>
      </c>
      <c r="L27" t="inlineStr">
        <is>
          <t>High</t>
        </is>
      </c>
      <c r="N27" t="inlineStr">
        <is>
          <t>Not specified in color review</t>
        </is>
      </c>
    </row>
    <row r="28">
      <c r="A28" t="inlineStr">
        <is>
          <t>84A201850P4</t>
        </is>
      </c>
      <c r="B28" t="inlineStr">
        <is>
          <t>ENGINE CONTROL SWITCH</t>
        </is>
      </c>
      <c r="C28" t="inlineStr">
        <is>
          <t>Controls (MCA, train control, er etc)</t>
        </is>
      </c>
      <c r="D28" t="inlineStr">
        <is>
          <t>TRAIN CONTROL</t>
        </is>
      </c>
      <c r="E28" t="n">
        <v>1</v>
      </c>
      <c r="F28" t="n">
        <v>171.544</v>
      </c>
      <c r="G28" t="n">
        <v>171.544</v>
      </c>
      <c r="M28" t="inlineStr">
        <is>
          <t>Weight not found - needs supplier data</t>
        </is>
      </c>
      <c r="N28" t="inlineStr">
        <is>
          <t>Not specified in color review</t>
        </is>
      </c>
    </row>
    <row r="29">
      <c r="A29" t="inlineStr">
        <is>
          <t>RCCR-PWRCBL</t>
        </is>
      </c>
      <c r="B29" t="inlineStr">
        <is>
          <t>CABLE, PWR, 72V,RA,6.5FT (78").,RR-070,RCCR</t>
        </is>
      </c>
      <c r="C29" t="inlineStr">
        <is>
          <t>Connectivity</t>
        </is>
      </c>
      <c r="D29" t="inlineStr">
        <is>
          <t>VOICE RADIO</t>
        </is>
      </c>
      <c r="E29" t="n">
        <v>1</v>
      </c>
      <c r="F29" t="n">
        <v>159</v>
      </c>
      <c r="G29" t="n">
        <v>159</v>
      </c>
      <c r="M29" t="inlineStr">
        <is>
          <t>Weight not found - needs supplier data</t>
        </is>
      </c>
      <c r="N29" t="inlineStr">
        <is>
          <t>Not specified in color review</t>
        </is>
      </c>
    </row>
    <row r="30">
      <c r="A30" t="inlineStr">
        <is>
          <t>41A216641AMP126</t>
        </is>
      </c>
      <c r="B30" t="inlineStr">
        <is>
          <t>NIO1D CONNECTOR BACKSHELL</t>
        </is>
      </c>
      <c r="C30" t="inlineStr">
        <is>
          <t>Controls (MCA, train control, er etc)</t>
        </is>
      </c>
      <c r="D30" t="inlineStr">
        <is>
          <t>Wiring</t>
        </is>
      </c>
      <c r="E30" t="n">
        <v>3</v>
      </c>
      <c r="F30" t="n">
        <v>29.9096</v>
      </c>
      <c r="G30" t="n">
        <v>89.72880000000001</v>
      </c>
      <c r="H30" t="n">
        <v>0</v>
      </c>
      <c r="I30" t="n">
        <v>0</v>
      </c>
      <c r="J30" t="inlineStr">
        <is>
          <t>0x0x0</t>
        </is>
      </c>
      <c r="L30" t="inlineStr">
        <is>
          <t>High</t>
        </is>
      </c>
      <c r="N30" t="inlineStr">
        <is>
          <t>Not specified in color review</t>
        </is>
      </c>
    </row>
    <row r="31">
      <c r="A31" t="inlineStr">
        <is>
          <t>17 pin MS3106-20-29F</t>
        </is>
      </c>
      <c r="B31" t="inlineStr">
        <is>
          <t>Head of Train Device - Padom - J2 Connector</t>
        </is>
      </c>
      <c r="C31" t="inlineStr">
        <is>
          <t>Controls (MCA, train control, er etc)</t>
        </is>
      </c>
      <c r="D31" t="inlineStr">
        <is>
          <t>Wiring</t>
        </is>
      </c>
      <c r="E31" t="n">
        <v>1</v>
      </c>
      <c r="F31" t="n">
        <v>79.83</v>
      </c>
      <c r="G31" t="n">
        <v>79.83</v>
      </c>
      <c r="M31" t="inlineStr">
        <is>
          <t>Weight not found - needs supplier data</t>
        </is>
      </c>
      <c r="N31" t="inlineStr">
        <is>
          <t>Not specified in color review</t>
        </is>
      </c>
    </row>
    <row r="32">
      <c r="A32" t="inlineStr">
        <is>
          <t>41A216641AMP125</t>
        </is>
      </c>
      <c r="B32" t="inlineStr">
        <is>
          <t>NIO1A CONNECTOR BACKSHELL</t>
        </is>
      </c>
      <c r="C32" t="inlineStr">
        <is>
          <t>Controls (MCA, train control, er etc)</t>
        </is>
      </c>
      <c r="D32" t="inlineStr">
        <is>
          <t>Wiring</t>
        </is>
      </c>
      <c r="E32" t="n">
        <v>3</v>
      </c>
      <c r="F32" t="n">
        <v>24.1998</v>
      </c>
      <c r="G32" t="n">
        <v>72.5994</v>
      </c>
      <c r="H32" t="n">
        <v>0.005</v>
      </c>
      <c r="I32" t="n">
        <v>0.015</v>
      </c>
      <c r="J32" t="inlineStr">
        <is>
          <t>0x0x0</t>
        </is>
      </c>
      <c r="L32" t="inlineStr">
        <is>
          <t>High</t>
        </is>
      </c>
      <c r="N32" t="inlineStr">
        <is>
          <t>Not specified in color review</t>
        </is>
      </c>
    </row>
    <row r="33">
      <c r="A33" t="inlineStr">
        <is>
          <t>5088-7000-P4611-0000000-ND‎</t>
        </is>
      </c>
      <c r="B33" t="inlineStr">
        <is>
          <t>POE Power Connector on SMM2 (M12 FEMALE 0 L-CODED FIELD-WIREA)</t>
        </is>
      </c>
      <c r="C33" t="inlineStr">
        <is>
          <t>Controls (MCA, train control, er etc)</t>
        </is>
      </c>
      <c r="D33" t="inlineStr">
        <is>
          <t>TRAIN CONTROL</t>
        </is>
      </c>
      <c r="E33" t="n">
        <v>1</v>
      </c>
      <c r="F33" t="n">
        <v>72.41</v>
      </c>
      <c r="G33" t="n">
        <v>72.41</v>
      </c>
      <c r="M33" t="inlineStr">
        <is>
          <t>Weight not found - needs supplier data</t>
        </is>
      </c>
      <c r="N33" t="inlineStr">
        <is>
          <t>Not specified in color review</t>
        </is>
      </c>
    </row>
    <row r="34">
      <c r="A34" t="inlineStr">
        <is>
          <t>41A296352PTP67</t>
        </is>
      </c>
      <c r="B34" t="inlineStr">
        <is>
          <t>CABLE CSX 12V P WR CBL</t>
        </is>
      </c>
      <c r="C34" t="inlineStr">
        <is>
          <t>Controls (MCA, train control, er etc)</t>
        </is>
      </c>
      <c r="D34" t="inlineStr">
        <is>
          <t>MCA</t>
        </is>
      </c>
      <c r="E34" t="n">
        <v>1</v>
      </c>
      <c r="F34" t="n">
        <v>71.94</v>
      </c>
      <c r="G34" t="n">
        <v>71.94</v>
      </c>
      <c r="M34" t="inlineStr">
        <is>
          <t>Weight not found - needs supplier data</t>
        </is>
      </c>
      <c r="N34" t="inlineStr">
        <is>
          <t>Not specified in color review</t>
        </is>
      </c>
    </row>
    <row r="35">
      <c r="A35" t="inlineStr">
        <is>
          <t>41A296352PTP69</t>
        </is>
      </c>
      <c r="B35" t="inlineStr">
        <is>
          <t>CABLE CSX 74V P WR CBL</t>
        </is>
      </c>
      <c r="C35" t="inlineStr">
        <is>
          <t>Controls (MCA, train control, er etc)</t>
        </is>
      </c>
      <c r="D35" t="inlineStr">
        <is>
          <t>MCA</t>
        </is>
      </c>
      <c r="E35" t="n">
        <v>1</v>
      </c>
      <c r="F35" t="n">
        <v>71.94</v>
      </c>
      <c r="G35" t="n">
        <v>71.94</v>
      </c>
      <c r="M35" t="inlineStr">
        <is>
          <t>Weight not found - needs supplier data</t>
        </is>
      </c>
      <c r="N35" t="inlineStr">
        <is>
          <t>Not specified in color review</t>
        </is>
      </c>
    </row>
    <row r="36">
      <c r="A36" t="inlineStr">
        <is>
          <t>41A216641AMP93</t>
        </is>
      </c>
      <c r="B36" t="inlineStr">
        <is>
          <t>NIO1E CONNECTOR</t>
        </is>
      </c>
      <c r="C36" t="inlineStr">
        <is>
          <t>Controls (MCA, train control, er etc)</t>
        </is>
      </c>
      <c r="D36" t="inlineStr">
        <is>
          <t>Wiring</t>
        </is>
      </c>
      <c r="E36" t="n">
        <v>3</v>
      </c>
      <c r="F36" t="n">
        <v>23.9499</v>
      </c>
      <c r="G36" t="n">
        <v>71.8497</v>
      </c>
      <c r="H36" t="n">
        <v>0.054</v>
      </c>
      <c r="I36" t="n">
        <v>0.162</v>
      </c>
      <c r="J36" t="inlineStr">
        <is>
          <t>0x0x0</t>
        </is>
      </c>
      <c r="L36" t="inlineStr">
        <is>
          <t>High</t>
        </is>
      </c>
      <c r="N36" t="inlineStr">
        <is>
          <t>Not specified in color review</t>
        </is>
      </c>
    </row>
    <row r="37">
      <c r="A37" t="inlineStr">
        <is>
          <t>41A216641AMP103</t>
        </is>
      </c>
      <c r="B37" t="inlineStr">
        <is>
          <t>NIO1D CONNECTOR</t>
        </is>
      </c>
      <c r="C37" t="inlineStr">
        <is>
          <t>Controls (MCA, train control, er etc)</t>
        </is>
      </c>
      <c r="D37" t="inlineStr">
        <is>
          <t>Wiring</t>
        </is>
      </c>
      <c r="E37" t="n">
        <v>3</v>
      </c>
      <c r="F37" t="n">
        <v>21.2198</v>
      </c>
      <c r="G37" t="n">
        <v>63.6594</v>
      </c>
      <c r="H37" t="n">
        <v>0.045</v>
      </c>
      <c r="I37" t="n">
        <v>0.135</v>
      </c>
      <c r="J37" t="inlineStr">
        <is>
          <t>1.5x1x1.5</t>
        </is>
      </c>
      <c r="L37" t="inlineStr">
        <is>
          <t>High</t>
        </is>
      </c>
      <c r="N37" t="inlineStr">
        <is>
          <t>Not specified in color review</t>
        </is>
      </c>
    </row>
    <row r="38">
      <c r="A38" t="inlineStr">
        <is>
          <t>16246P</t>
        </is>
      </c>
      <c r="B38" t="inlineStr">
        <is>
          <t>Flexi-Axle - WRE Part Number: 16246P</t>
        </is>
      </c>
      <c r="C38" t="inlineStr">
        <is>
          <t>PTC</t>
        </is>
      </c>
      <c r="D38" t="inlineStr">
        <is>
          <t>PTC</t>
        </is>
      </c>
      <c r="E38" t="n">
        <v>1</v>
      </c>
      <c r="F38" t="n">
        <v>59.75</v>
      </c>
      <c r="G38" t="n">
        <v>59.75</v>
      </c>
      <c r="M38" t="inlineStr">
        <is>
          <t>Weight not found - needs supplier data</t>
        </is>
      </c>
      <c r="N38" t="inlineStr">
        <is>
          <t>Not specified in color review</t>
        </is>
      </c>
    </row>
    <row r="39">
      <c r="A39" t="inlineStr">
        <is>
          <t>41A216641AMP99</t>
        </is>
      </c>
      <c r="B39" t="inlineStr">
        <is>
          <t>NIO1B CONNECTOR</t>
        </is>
      </c>
      <c r="C39" t="inlineStr">
        <is>
          <t>Controls (MCA, train control, er etc)</t>
        </is>
      </c>
      <c r="D39" t="inlineStr">
        <is>
          <t>Wiring</t>
        </is>
      </c>
      <c r="E39" t="n">
        <v>3</v>
      </c>
      <c r="F39" t="n">
        <v>19.67</v>
      </c>
      <c r="G39" t="n">
        <v>59.01</v>
      </c>
      <c r="H39" t="n">
        <v>0</v>
      </c>
      <c r="I39" t="n">
        <v>0</v>
      </c>
      <c r="J39" t="inlineStr">
        <is>
          <t>0x0x0</t>
        </is>
      </c>
      <c r="L39" t="inlineStr">
        <is>
          <t>High</t>
        </is>
      </c>
      <c r="N39" t="inlineStr">
        <is>
          <t>Not specified in color review</t>
        </is>
      </c>
    </row>
    <row r="40">
      <c r="A40" t="inlineStr">
        <is>
          <t>41A216641AMP123</t>
        </is>
      </c>
      <c r="B40" t="inlineStr">
        <is>
          <t>NIO1F CONNECTOR BACKSHELL</t>
        </is>
      </c>
      <c r="C40" t="inlineStr">
        <is>
          <t>Controls (MCA, train control, er etc)</t>
        </is>
      </c>
      <c r="D40" t="inlineStr">
        <is>
          <t>Wiring</t>
        </is>
      </c>
      <c r="E40" t="n">
        <v>3</v>
      </c>
      <c r="F40" t="n">
        <v>19.5574</v>
      </c>
      <c r="G40" t="n">
        <v>58.6722</v>
      </c>
      <c r="H40" t="n">
        <v>0.02</v>
      </c>
      <c r="I40" t="n">
        <v>0.06</v>
      </c>
      <c r="J40" t="inlineStr">
        <is>
          <t>0x0x0</t>
        </is>
      </c>
      <c r="L40" t="inlineStr">
        <is>
          <t>High</t>
        </is>
      </c>
      <c r="N40" t="inlineStr">
        <is>
          <t>Not specified in color review</t>
        </is>
      </c>
    </row>
    <row r="41">
      <c r="A41" t="inlineStr">
        <is>
          <t>41A216641AMP100</t>
        </is>
      </c>
      <c r="B41" t="inlineStr">
        <is>
          <t>NIO1C CONNECTOR</t>
        </is>
      </c>
      <c r="C41" t="inlineStr">
        <is>
          <t>Controls (MCA, train control, er etc)</t>
        </is>
      </c>
      <c r="D41" t="inlineStr">
        <is>
          <t>Wiring</t>
        </is>
      </c>
      <c r="E41" t="n">
        <v>3</v>
      </c>
      <c r="F41" t="n">
        <v>19.173</v>
      </c>
      <c r="G41" t="n">
        <v>57.519</v>
      </c>
      <c r="H41" t="n">
        <v>0</v>
      </c>
      <c r="I41" t="n">
        <v>0</v>
      </c>
      <c r="J41" t="inlineStr">
        <is>
          <t>0x0x0</t>
        </is>
      </c>
      <c r="L41" t="inlineStr">
        <is>
          <t>High</t>
        </is>
      </c>
      <c r="N41" t="inlineStr">
        <is>
          <t>Not specified in color review</t>
        </is>
      </c>
    </row>
    <row r="42">
      <c r="A42" t="inlineStr">
        <is>
          <t>41A216641AMP86</t>
        </is>
      </c>
      <c r="B42" t="inlineStr">
        <is>
          <t>NIO1F CONNECTOR</t>
        </is>
      </c>
      <c r="C42" t="inlineStr">
        <is>
          <t>Controls (MCA, train control, er etc)</t>
        </is>
      </c>
      <c r="D42" t="inlineStr">
        <is>
          <t>Wiring</t>
        </is>
      </c>
      <c r="E42" t="n">
        <v>3</v>
      </c>
      <c r="F42" t="n">
        <v>18.9357</v>
      </c>
      <c r="G42" t="n">
        <v>56.8071</v>
      </c>
      <c r="H42" t="n">
        <v>0.032</v>
      </c>
      <c r="I42" t="n">
        <v>0.096</v>
      </c>
      <c r="J42" t="inlineStr">
        <is>
          <t>3.95x1.25x6.65</t>
        </is>
      </c>
      <c r="L42" t="inlineStr">
        <is>
          <t>High</t>
        </is>
      </c>
      <c r="N42" t="inlineStr">
        <is>
          <t>Not specified in color review</t>
        </is>
      </c>
    </row>
    <row r="43">
      <c r="A43" t="inlineStr">
        <is>
          <t>41A216641AMP98</t>
        </is>
      </c>
      <c r="B43" t="inlineStr">
        <is>
          <t>NIO1A CONNECTOR</t>
        </is>
      </c>
      <c r="C43" t="inlineStr">
        <is>
          <t>Controls (MCA, train control, er etc)</t>
        </is>
      </c>
      <c r="D43" t="inlineStr">
        <is>
          <t>Wiring</t>
        </is>
      </c>
      <c r="E43" t="n">
        <v>3</v>
      </c>
      <c r="F43" t="n">
        <v>15.455</v>
      </c>
      <c r="G43" t="n">
        <v>46.365</v>
      </c>
      <c r="H43" t="n">
        <v>0.053</v>
      </c>
      <c r="I43" t="n">
        <v>0.159</v>
      </c>
      <c r="J43" t="inlineStr">
        <is>
          <t>0x0x0</t>
        </is>
      </c>
      <c r="L43" t="inlineStr">
        <is>
          <t>High</t>
        </is>
      </c>
      <c r="N43" t="inlineStr">
        <is>
          <t>Not specified in color review</t>
        </is>
      </c>
    </row>
    <row r="44">
      <c r="A44" t="inlineStr">
        <is>
          <t>41A216641ABP153</t>
        </is>
      </c>
      <c r="B44" t="inlineStr">
        <is>
          <t>HELPER'S RADIO SPEAKER 
CONNECTOR</t>
        </is>
      </c>
      <c r="C44" t="inlineStr">
        <is>
          <t>Controls (MCA, train control, er etc)</t>
        </is>
      </c>
      <c r="D44" t="inlineStr">
        <is>
          <t>Wiring</t>
        </is>
      </c>
      <c r="E44" t="n">
        <v>1</v>
      </c>
      <c r="F44" t="n">
        <v>45.7356</v>
      </c>
      <c r="G44" t="n">
        <v>45.7356</v>
      </c>
      <c r="M44" t="inlineStr">
        <is>
          <t>Weight not found - needs supplier data</t>
        </is>
      </c>
      <c r="N44" t="inlineStr">
        <is>
          <t>Not specified in color review</t>
        </is>
      </c>
    </row>
    <row r="45">
      <c r="A45" t="inlineStr">
        <is>
          <t>41A212414P31, 41A212414P3 2-Pole Option</t>
        </is>
      </c>
      <c r="B45" t="inlineStr">
        <is>
          <t>AUTOCOUPLER CIRCUIT BREAKER,  CCB(2A)</t>
        </is>
      </c>
      <c r="C45" t="inlineStr">
        <is>
          <t>Controls (MCA, train control, er etc)</t>
        </is>
      </c>
      <c r="D45" t="inlineStr">
        <is>
          <t>Circuit Breaker</t>
        </is>
      </c>
      <c r="E45" t="n">
        <v>1</v>
      </c>
      <c r="F45" t="n">
        <v>22.0206</v>
      </c>
      <c r="G45" t="n">
        <v>22.0206</v>
      </c>
      <c r="H45" t="n">
        <v>0.093</v>
      </c>
      <c r="I45" t="n">
        <v>0.093</v>
      </c>
      <c r="J45" t="inlineStr">
        <is>
          <t>2.5x0.65x3.05</t>
        </is>
      </c>
      <c r="K45" t="inlineStr">
        <is>
          <t>85362000</t>
        </is>
      </c>
      <c r="L45" t="inlineStr">
        <is>
          <t>High</t>
        </is>
      </c>
      <c r="N45" t="inlineStr">
        <is>
          <t>Not specified in color review</t>
        </is>
      </c>
    </row>
    <row r="46">
      <c r="A46" t="inlineStr">
        <is>
          <t>5373-219</t>
        </is>
      </c>
      <c r="B46" t="inlineStr">
        <is>
          <t>CONNECTOR, ELECTRICAL</t>
        </is>
      </c>
      <c r="C46" t="inlineStr">
        <is>
          <t>Controls (MCA, train control, er etc)</t>
        </is>
      </c>
      <c r="D46" t="inlineStr">
        <is>
          <t>Wiring</t>
        </is>
      </c>
      <c r="E46" t="n">
        <v>1</v>
      </c>
      <c r="F46" t="n">
        <v>13.66</v>
      </c>
      <c r="G46" t="n">
        <v>13.66</v>
      </c>
      <c r="M46" t="inlineStr">
        <is>
          <t>Weight not found - needs supplier data</t>
        </is>
      </c>
      <c r="N46" t="inlineStr">
        <is>
          <t>Not specified in color review</t>
        </is>
      </c>
    </row>
    <row r="47">
      <c r="A47" t="inlineStr">
        <is>
          <t>41A271471P24/38</t>
        </is>
      </c>
      <c r="B47" t="inlineStr">
        <is>
          <t>HPEAP DISCRETE CONNECTOR Backshell</t>
        </is>
      </c>
      <c r="C47" t="inlineStr">
        <is>
          <t>Controls (MCA, train control, er etc)</t>
        </is>
      </c>
      <c r="D47" t="inlineStr">
        <is>
          <t>Wiring</t>
        </is>
      </c>
      <c r="E47" t="n">
        <v>1</v>
      </c>
      <c r="F47" t="n">
        <v>1.9294</v>
      </c>
      <c r="G47" t="n">
        <v>1.9294</v>
      </c>
      <c r="H47" t="n">
        <v>0.023</v>
      </c>
      <c r="I47" t="n">
        <v>0.023</v>
      </c>
      <c r="J47" t="inlineStr">
        <is>
          <t>5.1x1.15x2.95</t>
        </is>
      </c>
      <c r="K47" t="inlineStr">
        <is>
          <t>85366990</t>
        </is>
      </c>
      <c r="L47" t="inlineStr">
        <is>
          <t>High</t>
        </is>
      </c>
      <c r="N47" t="inlineStr">
        <is>
          <t>Not specified in color review</t>
        </is>
      </c>
    </row>
    <row r="48">
      <c r="A48" t="inlineStr">
        <is>
          <t>41A296352DNP73</t>
        </is>
      </c>
      <c r="B48" t="inlineStr">
        <is>
          <t>CABLE: GROUND S TRAP</t>
        </is>
      </c>
      <c r="C48" t="inlineStr">
        <is>
          <t>Controls (MCA, train control, er etc)</t>
        </is>
      </c>
      <c r="D48" t="inlineStr">
        <is>
          <t>MCA</t>
        </is>
      </c>
      <c r="E48" t="n">
        <v>1</v>
      </c>
      <c r="F48" t="n">
        <v>0.01</v>
      </c>
      <c r="G48" t="n">
        <v>0.01</v>
      </c>
      <c r="M48" t="inlineStr">
        <is>
          <t>Weight not found - needs supplier data</t>
        </is>
      </c>
      <c r="N48" t="inlineStr">
        <is>
          <t>Not specified in color review</t>
        </is>
      </c>
    </row>
    <row r="49">
      <c r="A49" t="inlineStr">
        <is>
          <t>41A296352DNP96</t>
        </is>
      </c>
      <c r="B49" t="inlineStr">
        <is>
          <t>Cable: CRM Ethernet Switch to ACC</t>
        </is>
      </c>
      <c r="C49" t="inlineStr">
        <is>
          <t>Controls (MCA, train control, er etc)</t>
        </is>
      </c>
      <c r="D49" t="inlineStr">
        <is>
          <t>MCA</t>
        </is>
      </c>
      <c r="E49" t="n">
        <v>1</v>
      </c>
      <c r="F49" t="n">
        <v>0.01</v>
      </c>
      <c r="G49" t="n">
        <v>0.01</v>
      </c>
      <c r="M49" t="inlineStr">
        <is>
          <t>Weight not found - needs supplier data</t>
        </is>
      </c>
      <c r="N49" t="inlineStr">
        <is>
          <t>Not specified in color review</t>
        </is>
      </c>
    </row>
    <row r="50">
      <c r="A50" s="39" t="inlineStr">
        <is>
          <t>41B566322ACG1</t>
        </is>
      </c>
      <c r="B50" s="39" t="inlineStr">
        <is>
          <t>TRAINLINE RESISTOR PANEL</t>
        </is>
      </c>
      <c r="C50" s="39" t="inlineStr">
        <is>
          <t>SKID Assembly</t>
        </is>
      </c>
      <c r="D50" s="39" t="inlineStr">
        <is>
          <t>Controls (MCA, train control, er etc)</t>
        </is>
      </c>
      <c r="E50" s="39" t="n">
        <v>1</v>
      </c>
      <c r="F50" s="39" t="n"/>
      <c r="G50" s="39" t="n"/>
      <c r="H50" s="39" t="n">
        <v>2.859</v>
      </c>
      <c r="I50" s="39" t="n">
        <v>2.859</v>
      </c>
      <c r="J50" s="39" t="inlineStr">
        <is>
          <t>14x6x8.5</t>
        </is>
      </c>
      <c r="K50" s="39" t="inlineStr">
        <is>
          <t>85333990</t>
        </is>
      </c>
      <c r="L50" s="39" t="inlineStr">
        <is>
          <t>High</t>
        </is>
      </c>
      <c r="M50" s="39" t="inlineStr">
        <is>
          <t>No US cost yet - price pending</t>
        </is>
      </c>
      <c r="N50" s="39" t="inlineStr">
        <is>
          <t>GET / transfer price to be confirmed</t>
        </is>
      </c>
    </row>
    <row r="51">
      <c r="A51" s="39" t="inlineStr">
        <is>
          <t>41C663693G1</t>
        </is>
      </c>
      <c r="B51" s="39" t="inlineStr">
        <is>
          <t>PANEL CPF</t>
        </is>
      </c>
      <c r="C51" s="39" t="inlineStr">
        <is>
          <t>Power</t>
        </is>
      </c>
      <c r="D51" s="39" t="inlineStr">
        <is>
          <t>POWER</t>
        </is>
      </c>
      <c r="E51" s="39" t="n">
        <v>1</v>
      </c>
      <c r="F51" s="39" t="n"/>
      <c r="G51" s="39" t="n"/>
      <c r="H51" s="39" t="n">
        <v>5.761</v>
      </c>
      <c r="I51" s="39" t="n">
        <v>5.761</v>
      </c>
      <c r="J51" s="39" t="inlineStr">
        <is>
          <t>20.5x10.5x11.5</t>
        </is>
      </c>
      <c r="K51" s="39" t="inlineStr">
        <is>
          <t>85371090</t>
        </is>
      </c>
      <c r="L51" s="39" t="inlineStr">
        <is>
          <t>High</t>
        </is>
      </c>
      <c r="M51" s="39" t="inlineStr">
        <is>
          <t>No US cost yet - price pending</t>
        </is>
      </c>
      <c r="N51" s="39" t="inlineStr">
        <is>
          <t>GET / transfer price to be confirmed</t>
        </is>
      </c>
    </row>
    <row r="52">
      <c r="A52" t="inlineStr">
        <is>
          <t>41A296352DNP57</t>
        </is>
      </c>
      <c r="B52" t="inlineStr">
        <is>
          <t>REMOTE HEAD - VOICE RADIO RITRON</t>
        </is>
      </c>
      <c r="C52" t="inlineStr">
        <is>
          <t>Connectivity</t>
        </is>
      </c>
      <c r="D52" t="inlineStr">
        <is>
          <t>VOICE RADIO</t>
        </is>
      </c>
      <c r="E52" t="n">
        <v>1</v>
      </c>
      <c r="M52" t="inlineStr">
        <is>
          <t>No US cost yet - price pending; Weight not found - needs supplier data</t>
        </is>
      </c>
      <c r="N52" t="inlineStr">
        <is>
          <t>Not specified in color review</t>
        </is>
      </c>
    </row>
    <row r="53">
      <c r="A53" t="inlineStr">
        <is>
          <t>41A296326CYP77</t>
        </is>
      </c>
      <c r="B53" t="inlineStr">
        <is>
          <t>M12-A_ MALE_ 8-PIN_ STRAIGHT BSH</t>
        </is>
      </c>
      <c r="C53" t="inlineStr">
        <is>
          <t>SKID Assembly</t>
        </is>
      </c>
      <c r="D53" t="inlineStr">
        <is>
          <t>SKID (Skid)</t>
        </is>
      </c>
      <c r="E53" t="n">
        <v>16</v>
      </c>
      <c r="M53" t="inlineStr">
        <is>
          <t>No US cost yet - price pending; Weight not found - needs supplier data</t>
        </is>
      </c>
      <c r="N53" t="inlineStr">
        <is>
          <t>Not specified in color review</t>
        </is>
      </c>
    </row>
    <row r="54">
      <c r="A54" t="inlineStr">
        <is>
          <t>41A296352PTP272</t>
        </is>
      </c>
      <c r="B54" t="inlineStr">
        <is>
          <t>BC-PRECISION NAVIGATION MODULE</t>
        </is>
      </c>
      <c r="C54" t="inlineStr">
        <is>
          <t>SKID Assembly</t>
        </is>
      </c>
      <c r="D54" t="inlineStr">
        <is>
          <t>SKID (Skid)</t>
        </is>
      </c>
      <c r="E54" t="n">
        <v>2</v>
      </c>
      <c r="M54" t="inlineStr">
        <is>
          <t>No US cost yet - price pending; Weight not found - needs supplier data</t>
        </is>
      </c>
      <c r="N54" t="inlineStr">
        <is>
          <t>Not specified in color review</t>
        </is>
      </c>
    </row>
    <row r="55">
      <c r="A55" t="inlineStr">
        <is>
          <t>41A296352PTP58</t>
        </is>
      </c>
      <c r="B55" t="inlineStr">
        <is>
          <t>AY-DISPLAY CSX PTC DISPLAY</t>
        </is>
      </c>
      <c r="C55" t="inlineStr">
        <is>
          <t>SKID Assembly</t>
        </is>
      </c>
      <c r="D55" t="inlineStr">
        <is>
          <t>SKID (Skid)</t>
        </is>
      </c>
      <c r="E55" t="n">
        <v>1</v>
      </c>
      <c r="M55" t="inlineStr">
        <is>
          <t>No US cost yet - price pending; Weight not found - needs supplier data</t>
        </is>
      </c>
      <c r="N55" t="inlineStr">
        <is>
          <t>Not specified in color review</t>
        </is>
      </c>
    </row>
    <row r="56">
      <c r="A56" t="inlineStr">
        <is>
          <t>41A296352PTP292</t>
        </is>
      </c>
      <c r="B56" t="inlineStr">
        <is>
          <t>AX-POWER SUPPLY 13.6 V</t>
        </is>
      </c>
      <c r="C56" t="inlineStr">
        <is>
          <t>SKID Assembly</t>
        </is>
      </c>
      <c r="D56" t="inlineStr">
        <is>
          <t>SKID (Skid)</t>
        </is>
      </c>
      <c r="E56" t="n">
        <v>1</v>
      </c>
      <c r="M56" t="inlineStr">
        <is>
          <t>No US cost yet - price pending; Weight not found - needs supplier data</t>
        </is>
      </c>
      <c r="N56" t="inlineStr">
        <is>
          <t>Not specified in color review</t>
        </is>
      </c>
    </row>
    <row r="57">
      <c r="A57" t="inlineStr">
        <is>
          <t>MODEM ATT</t>
        </is>
      </c>
      <c r="B57" t="inlineStr">
        <is>
          <t>MODEM ATT</t>
        </is>
      </c>
      <c r="C57" t="inlineStr">
        <is>
          <t>SKID Assembly</t>
        </is>
      </c>
      <c r="D57" t="inlineStr">
        <is>
          <t>SKID (Skid)</t>
        </is>
      </c>
      <c r="E57" t="n">
        <v>3</v>
      </c>
      <c r="M57" t="inlineStr">
        <is>
          <t>No US cost yet - price pending; Weight not found - needs supplier data</t>
        </is>
      </c>
      <c r="N57" t="inlineStr">
        <is>
          <t>Not specified in color review</t>
        </is>
      </c>
    </row>
    <row r="58">
      <c r="A58" t="inlineStr">
        <is>
          <t>84A237085AJP1</t>
        </is>
      </c>
      <c r="B58" t="inlineStr">
        <is>
          <t>C-GoLIN EP_3 SMA_M2 CELL MODEM</t>
        </is>
      </c>
      <c r="C58" t="inlineStr">
        <is>
          <t>SKID Assembly</t>
        </is>
      </c>
      <c r="D58" t="inlineStr">
        <is>
          <t>Controls (MCA, train control, er etc)</t>
        </is>
      </c>
      <c r="E58" t="n">
        <v>1</v>
      </c>
      <c r="M58" t="inlineStr">
        <is>
          <t>No US cost yet - price pending; Weight not found - needs supplier data</t>
        </is>
      </c>
      <c r="N58" t="inlineStr">
        <is>
          <t>Not specified in color review</t>
        </is>
      </c>
    </row>
    <row r="59">
      <c r="A59" t="inlineStr">
        <is>
          <t>17FL400B</t>
        </is>
      </c>
      <c r="B59" t="inlineStr">
        <is>
          <t>ST-DEVELOPER v19.4</t>
        </is>
      </c>
      <c r="C59" t="inlineStr">
        <is>
          <t>SKID Assembly</t>
        </is>
      </c>
      <c r="D59" t="inlineStr">
        <is>
          <t>SKID (Skid)</t>
        </is>
      </c>
      <c r="E59" t="n">
        <v>1</v>
      </c>
      <c r="M59" t="inlineStr">
        <is>
          <t>No US cost yet - price pending; Weight not found - needs supplier data</t>
        </is>
      </c>
      <c r="N59" t="inlineStr">
        <is>
          <t>Not specified in color review</t>
        </is>
      </c>
    </row>
    <row r="60">
      <c r="A60" t="inlineStr">
        <is>
          <t>41A296352CMP448</t>
        </is>
      </c>
      <c r="B60" t="inlineStr">
        <is>
          <t>FB-DIGITAL RADIO MODULE</t>
        </is>
      </c>
      <c r="C60" t="inlineStr">
        <is>
          <t>SKID Assembly</t>
        </is>
      </c>
      <c r="D60" t="inlineStr">
        <is>
          <t>SKID (Skid)</t>
        </is>
      </c>
      <c r="E60" t="n">
        <v>1</v>
      </c>
      <c r="M60" t="inlineStr">
        <is>
          <t>No US cost yet - price pending; Weight not found - needs supplier data</t>
        </is>
      </c>
      <c r="N60" t="inlineStr">
        <is>
          <t>Not specified in color review</t>
        </is>
      </c>
    </row>
    <row r="61">
      <c r="A61" t="inlineStr">
        <is>
          <t>41A296352PTP326</t>
        </is>
      </c>
      <c r="B61" t="inlineStr">
        <is>
          <t>BH-WABTEC TRAIN MANAGEMENT COMPUTER _WTMC_</t>
        </is>
      </c>
      <c r="C61" t="inlineStr">
        <is>
          <t>SKID Assembly</t>
        </is>
      </c>
      <c r="D61" t="inlineStr">
        <is>
          <t>SKID (Skid)</t>
        </is>
      </c>
      <c r="E61" t="n">
        <v>1</v>
      </c>
      <c r="M61" t="inlineStr">
        <is>
          <t>No US cost yet - price pending; Weight not found - needs supplier data</t>
        </is>
      </c>
      <c r="N61" t="inlineStr">
        <is>
          <t>Not specified in color review</t>
        </is>
      </c>
    </row>
    <row r="62">
      <c r="A62" t="inlineStr">
        <is>
          <t>17FM711C3</t>
        </is>
      </c>
      <c r="B62" t="inlineStr">
        <is>
          <t>H-PANEL DBM</t>
        </is>
      </c>
      <c r="C62" t="inlineStr">
        <is>
          <t>SKID Assembly</t>
        </is>
      </c>
      <c r="D62" t="inlineStr">
        <is>
          <t>SKID (Skid)</t>
        </is>
      </c>
      <c r="E62" t="n">
        <v>1</v>
      </c>
      <c r="M62" t="inlineStr">
        <is>
          <t>No US cost yet - price pending; Weight not found - needs supplier data</t>
        </is>
      </c>
      <c r="N62" t="inlineStr">
        <is>
          <t>Not specified in color review</t>
        </is>
      </c>
    </row>
    <row r="63">
      <c r="A63" t="inlineStr">
        <is>
          <t>41A296352BCP9</t>
        </is>
      </c>
      <c r="B63" t="inlineStr">
        <is>
          <t>N-HEAD OF TRAIN DEVICE</t>
        </is>
      </c>
      <c r="C63" t="inlineStr">
        <is>
          <t>SKID Assembly</t>
        </is>
      </c>
      <c r="D63" t="inlineStr">
        <is>
          <t>SKID (Skid)</t>
        </is>
      </c>
      <c r="E63" t="n">
        <v>1</v>
      </c>
      <c r="M63" t="inlineStr">
        <is>
          <t>No US cost yet - price pending; Weight not found - needs supplier data</t>
        </is>
      </c>
      <c r="N63" t="inlineStr">
        <is>
          <t>Not specified in color review</t>
        </is>
      </c>
    </row>
    <row r="64">
      <c r="A64" t="inlineStr">
        <is>
          <t>RL-1033772</t>
        </is>
      </c>
      <c r="B64" t="inlineStr">
        <is>
          <t>ASSEMBLY, RELAY BOARD</t>
        </is>
      </c>
      <c r="C64" t="inlineStr">
        <is>
          <t>SKID Assembly</t>
        </is>
      </c>
      <c r="D64" t="inlineStr">
        <is>
          <t>SKID (Skid)</t>
        </is>
      </c>
      <c r="E64" t="n">
        <v>1</v>
      </c>
      <c r="M64" t="inlineStr">
        <is>
          <t>No US cost yet - price pending; Weight not found - needs supplier data</t>
        </is>
      </c>
      <c r="N64" t="inlineStr">
        <is>
          <t>Not specified in color review</t>
        </is>
      </c>
    </row>
    <row r="65">
      <c r="A65" t="inlineStr">
        <is>
          <t>41B549523ADP15</t>
        </is>
      </c>
      <c r="B65" t="inlineStr">
        <is>
          <t>SWITCH PUSH BUTTON</t>
        </is>
      </c>
      <c r="C65" t="inlineStr">
        <is>
          <t>SKID Assembly</t>
        </is>
      </c>
      <c r="D65" t="inlineStr">
        <is>
          <t>SKID (Skid)</t>
        </is>
      </c>
      <c r="E65" t="n">
        <v>2</v>
      </c>
      <c r="M65" t="inlineStr">
        <is>
          <t>No US cost yet - price pending; Weight not found - needs supplier data</t>
        </is>
      </c>
      <c r="N65" t="inlineStr">
        <is>
          <t>Not specified in color review</t>
        </is>
      </c>
    </row>
    <row r="66">
      <c r="A66" t="inlineStr">
        <is>
          <t>BAP900F</t>
        </is>
      </c>
      <c r="B66" t="inlineStr">
        <is>
          <t>CONVERTER/CHARGER DC/DC 74/72-F4WTSA</t>
        </is>
      </c>
      <c r="C66" t="inlineStr">
        <is>
          <t>SKID Assembly</t>
        </is>
      </c>
      <c r="D66" t="inlineStr">
        <is>
          <t>SKID (Skid)</t>
        </is>
      </c>
      <c r="E66" t="n">
        <v>3</v>
      </c>
      <c r="M66" t="inlineStr">
        <is>
          <t>No US cost yet - price pending; Weight not found - needs supplier data</t>
        </is>
      </c>
      <c r="N66" t="inlineStr">
        <is>
          <t>Not specified in color review</t>
        </is>
      </c>
    </row>
    <row r="67">
      <c r="A67" t="inlineStr">
        <is>
          <t>41A296352PTP360</t>
        </is>
      </c>
      <c r="B67" t="inlineStr">
        <is>
          <t>_BB-CUT-OUT SWITCH CABINET</t>
        </is>
      </c>
      <c r="C67" t="inlineStr">
        <is>
          <t>SKID Assembly</t>
        </is>
      </c>
      <c r="D67" t="inlineStr">
        <is>
          <t>SKID (Skid)</t>
        </is>
      </c>
      <c r="E67" t="n">
        <v>1</v>
      </c>
      <c r="M67" t="inlineStr">
        <is>
          <t>No US cost yet - price pending; Weight not found - needs supplier data</t>
        </is>
      </c>
      <c r="N67" t="inlineStr">
        <is>
          <t>Not specified in color review</t>
        </is>
      </c>
    </row>
    <row r="68">
      <c r="A68" t="inlineStr">
        <is>
          <t>N265P21B</t>
        </is>
      </c>
      <c r="B68" t="inlineStr">
        <is>
          <t>NUT, HEX, LOCK, 1/4-20, GR5, Z</t>
        </is>
      </c>
      <c r="C68" t="inlineStr">
        <is>
          <t>SKID Assembly</t>
        </is>
      </c>
      <c r="D68" t="inlineStr">
        <is>
          <t>SKID (Skid)</t>
        </is>
      </c>
      <c r="E68" t="n">
        <v>1</v>
      </c>
      <c r="M68" t="inlineStr">
        <is>
          <t>No US cost yet - price pending; Weight not found - needs supplier data</t>
        </is>
      </c>
      <c r="N68" t="inlineStr">
        <is>
          <t>Not specified in color review</t>
        </is>
      </c>
    </row>
    <row r="69">
      <c r="A69" t="inlineStr">
        <is>
          <t>N647AP21012B</t>
        </is>
      </c>
      <c r="B69" t="inlineStr">
        <is>
          <t>BOLT, BHCS, 1/4"-20 X 3/4", 18-8</t>
        </is>
      </c>
      <c r="C69" t="inlineStr">
        <is>
          <t>SKID Assembly</t>
        </is>
      </c>
      <c r="D69" t="inlineStr">
        <is>
          <t>SKID (Skid)</t>
        </is>
      </c>
      <c r="E69" t="n">
        <v>17</v>
      </c>
      <c r="M69" t="inlineStr">
        <is>
          <t>No US cost yet - price pending; Weight not found - needs supplier data</t>
        </is>
      </c>
      <c r="N69" t="inlineStr">
        <is>
          <t>Not specified in color review</t>
        </is>
      </c>
    </row>
    <row r="70">
      <c r="A70" t="inlineStr">
        <is>
          <t>1009634-901</t>
        </is>
      </c>
      <c r="B70" t="inlineStr">
        <is>
          <t>SFM 701x Smart Fan Module</t>
        </is>
      </c>
      <c r="C70" t="inlineStr">
        <is>
          <t>SKID Assembly</t>
        </is>
      </c>
      <c r="D70" t="inlineStr">
        <is>
          <t>bottom on ACC</t>
        </is>
      </c>
      <c r="E70" t="n">
        <v>3</v>
      </c>
      <c r="M70" t="inlineStr">
        <is>
          <t>No US cost yet - price pending; Weight not found - needs supplier data</t>
        </is>
      </c>
      <c r="N70" t="inlineStr">
        <is>
          <t>Not specified in color review</t>
        </is>
      </c>
    </row>
    <row r="71">
      <c r="A71" t="inlineStr">
        <is>
          <t>401581-100</t>
        </is>
      </c>
      <c r="B71" t="inlineStr">
        <is>
          <t>SFPIM 703x 15v Smart Fan Module</t>
        </is>
      </c>
      <c r="C71" t="inlineStr">
        <is>
          <t>SKID Assembly</t>
        </is>
      </c>
      <c r="D71" t="inlineStr">
        <is>
          <t>41A296352VHP1_E-GEW</t>
        </is>
      </c>
      <c r="E71" t="n">
        <v>2</v>
      </c>
      <c r="M71" t="inlineStr">
        <is>
          <t>No US cost yet - price pending; Weight not found - needs supplier data</t>
        </is>
      </c>
      <c r="N71" t="inlineStr">
        <is>
          <t>Not specified in color review</t>
        </is>
      </c>
    </row>
    <row r="72">
      <c r="A72" t="inlineStr">
        <is>
          <t>PTC-FILT-NB-160-MIL-U</t>
        </is>
      </c>
      <c r="B72" t="inlineStr">
        <is>
          <t>160 MHz PTC Filter</t>
        </is>
      </c>
      <c r="C72" t="inlineStr">
        <is>
          <t>SKID Assembly</t>
        </is>
      </c>
      <c r="D72" t="inlineStr">
        <is>
          <t>later</t>
        </is>
      </c>
      <c r="E72" t="n">
        <v>1</v>
      </c>
      <c r="M72" t="inlineStr">
        <is>
          <t>No US cost yet - price pending; Weight not found - needs supplier data</t>
        </is>
      </c>
      <c r="N72" t="inlineStr">
        <is>
          <t>Not specified in color review</t>
        </is>
      </c>
    </row>
    <row r="73">
      <c r="A73" t="inlineStr">
        <is>
          <t>PTC-FILT-NB-220-MIL-MF</t>
        </is>
      </c>
      <c r="B73" t="inlineStr">
        <is>
          <t>220 Mhz PTC FILTER</t>
        </is>
      </c>
      <c r="C73" t="inlineStr">
        <is>
          <t>SKID Assembly</t>
        </is>
      </c>
      <c r="D73" t="inlineStr">
        <is>
          <t>later</t>
        </is>
      </c>
      <c r="E73" t="n">
        <v>2</v>
      </c>
      <c r="M73" t="inlineStr">
        <is>
          <t>No US cost yet - price pending; Weight not found - needs supplier data</t>
        </is>
      </c>
      <c r="N73" t="inlineStr">
        <is>
          <t>Not specified in color review</t>
        </is>
      </c>
    </row>
    <row r="74">
      <c r="B74" t="inlineStr">
        <is>
          <t>PTC Junction Box</t>
        </is>
      </c>
      <c r="C74" t="inlineStr">
        <is>
          <t>SKID Assembly</t>
        </is>
      </c>
      <c r="D74" t="inlineStr">
        <is>
          <t>SKID (Skid)</t>
        </is>
      </c>
      <c r="E74" t="n">
        <v>1</v>
      </c>
      <c r="M74" t="inlineStr">
        <is>
          <t>No US cost yet - price pending; Weight not found - needs supplier data</t>
        </is>
      </c>
      <c r="N74" t="inlineStr">
        <is>
          <t>Not specified in color review</t>
        </is>
      </c>
    </row>
    <row r="75">
      <c r="A75" t="inlineStr">
        <is>
          <t>41A296352LUP15</t>
        </is>
      </c>
      <c r="B75" t="inlineStr">
        <is>
          <t>455 MHz Antenna (DPA, DPB, EOT )</t>
        </is>
      </c>
      <c r="C75" t="inlineStr">
        <is>
          <t>SKID Assembly</t>
        </is>
      </c>
      <c r="D75" t="inlineStr">
        <is>
          <t>SKID (Skid)</t>
        </is>
      </c>
      <c r="E75" t="n">
        <v>3</v>
      </c>
      <c r="M75" t="inlineStr">
        <is>
          <t>No US cost yet - price pending; Weight not found - needs supplier data</t>
        </is>
      </c>
      <c r="N75" t="inlineStr">
        <is>
          <t>Not specified in color review</t>
        </is>
      </c>
    </row>
    <row r="76">
      <c r="A76" t="inlineStr">
        <is>
          <t>84D749224G1</t>
        </is>
      </c>
      <c r="B76" t="inlineStr">
        <is>
          <t>Power resistor</t>
        </is>
      </c>
      <c r="C76" t="inlineStr">
        <is>
          <t>SKID Assembly</t>
        </is>
      </c>
      <c r="D76" t="inlineStr">
        <is>
          <t>Battery Skid?</t>
        </is>
      </c>
      <c r="E76" t="n">
        <v>1</v>
      </c>
      <c r="M76" t="inlineStr">
        <is>
          <t>No US cost yet - price pending; Weight not found - needs supplier data</t>
        </is>
      </c>
      <c r="N76" t="inlineStr">
        <is>
          <t>Not specified in color review</t>
        </is>
      </c>
    </row>
  </sheetData>
  <autoFilter ref="A2:M76">
    <sortState ref="A3:M76">
      <sortCondition descending="1" ref="G2:G76"/>
    </sortState>
  </autoFilter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2026-09-15T15:10:48Z</dcterms:created>
  <dcterms:modified xsi:type="dcterms:W3CDTF">2026-09-22T18:50:39Z</dcterms:modified>
  <cp:lastModifiedBy>de Oliveira, Matheus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7903732-8a6f-4e0e-952b-fe0b250d49cc_Enabled" fmtid="{D5CDD505-2E9C-101B-9397-08002B2CF9AE}" pid="2">
    <vt:lpwstr>true</vt:lpwstr>
  </property>
  <property name="MSIP_Label_57903732-8a6f-4e0e-952b-fe0b250d49cc_SetDate" fmtid="{D5CDD505-2E9C-101B-9397-08002B2CF9AE}" pid="3">
    <vt:lpwstr>2026-09-15T18:16:42Z</vt:lpwstr>
  </property>
  <property name="MSIP_Label_57903732-8a6f-4e0e-952b-fe0b250d49cc_Method" fmtid="{D5CDD505-2E9C-101B-9397-08002B2CF9AE}" pid="4">
    <vt:lpwstr>Standard</vt:lpwstr>
  </property>
  <property name="MSIP_Label_57903732-8a6f-4e0e-952b-fe0b250d49cc_Name" fmtid="{D5CDD505-2E9C-101B-9397-08002B2CF9AE}" pid="5">
    <vt:lpwstr>1- General Business</vt:lpwstr>
  </property>
  <property name="MSIP_Label_57903732-8a6f-4e0e-952b-fe0b250d49cc_SiteId" fmtid="{D5CDD505-2E9C-101B-9397-08002B2CF9AE}" pid="6">
    <vt:lpwstr>90f1aac4-c661-46a9-83fd-e021705adcc9</vt:lpwstr>
  </property>
  <property name="MSIP_Label_57903732-8a6f-4e0e-952b-fe0b250d49cc_ActionId" fmtid="{D5CDD505-2E9C-101B-9397-08002B2CF9AE}" pid="7">
    <vt:lpwstr>3c4f8067-6a9e-4926-a1d7-7db9f9751ac0</vt:lpwstr>
  </property>
  <property name="MSIP_Label_57903732-8a6f-4e0e-952b-fe0b250d49cc_ContentBits" fmtid="{D5CDD505-2E9C-101B-9397-08002B2CF9AE}" pid="8">
    <vt:lpwstr>1</vt:lpwstr>
  </property>
  <property name="MSIP_Label_57903732-8a6f-4e0e-952b-fe0b250d49cc_Tag" fmtid="{D5CDD505-2E9C-101B-9397-08002B2CF9AE}" pid="9">
    <vt:lpwstr>10, 3, 0, 1</vt:lpwstr>
  </property>
</Properties>
</file>