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Executive Summary (GDT Project)" sheetId="1" state="visible" r:id="rId1"/>
    <sheet name="Final Cost List" sheetId="2" state="visible" r:id="rId2"/>
    <sheet name="GDT Integration and Assembly" sheetId="3" state="visible" r:id="rId3"/>
    <sheet name="Missing Items" sheetId="4" state="visible" r:id="rId4"/>
  </sheets>
  <definedNames>
    <definedName name="_xlnm._FilterDatabase" localSheetId="1" hidden="1">'Final Cost List'!$A$1:$O$165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\$\ #,##0.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FF1F497D"/>
      <sz val="14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E8" sqref="E8"/>
    </sheetView>
  </sheetViews>
  <sheetFormatPr baseColWidth="8" defaultRowHeight="15"/>
  <cols>
    <col width="56" customWidth="1" min="1" max="1"/>
    <col width="59" customWidth="1" min="2" max="2"/>
    <col width="50" customWidth="1" min="3" max="3"/>
    <col width="39" customWidth="1" min="4" max="5"/>
    <col width="23" customWidth="1" min="6" max="6"/>
  </cols>
  <sheetData>
    <row r="1" ht="18.75" customHeight="1">
      <c r="A1" s="1" t="inlineStr">
        <is>
          <t>EXECUTIVE SUMMARY - MRS PATHFINDER GDT RAILCAR PROPOSAL</t>
        </is>
      </c>
    </row>
    <row r="2">
      <c r="A2" s="2" t="inlineStr">
        <is>
          <t>Exchange Rate:</t>
        </is>
      </c>
      <c r="B2" t="inlineStr">
        <is>
          <t>USD 1.00 = BRL 5.16</t>
        </is>
      </c>
    </row>
    <row r="3">
      <c r="A3" s="2" t="inlineStr">
        <is>
          <t>Profit Margin Note:</t>
        </is>
      </c>
      <c r="B3" t="inlineStr">
        <is>
          <t>PROFIT MARGIN = 0.0% (Cost / Pure Breakeven)</t>
        </is>
      </c>
    </row>
    <row r="4"/>
    <row r="5">
      <c r="A5" s="3" t="inlineStr">
        <is>
          <t>Project Module</t>
        </is>
      </c>
      <c r="B5" s="3" t="inlineStr">
        <is>
          <t>Direct / Nationalized Cost BRL (Excluding Taxes)</t>
        </is>
      </c>
      <c r="C5" s="3" t="inlineStr">
        <is>
          <t>Direct / Nationalized Cost USD (Excluding Taxes)</t>
        </is>
      </c>
      <c r="D5" s="3" t="inlineStr">
        <is>
          <t>Final Gross Price BRL (Including Taxes)</t>
        </is>
      </c>
      <c r="E5" s="3" t="inlineStr">
        <is>
          <t>Final Gross Price USD (Including Taxes)</t>
        </is>
      </c>
      <c r="F5" s="3" t="inlineStr">
        <is>
          <t>% of Total</t>
        </is>
      </c>
    </row>
    <row r="6">
      <c r="A6" t="inlineStr">
        <is>
          <t>1. Equipment &amp; Components (BOM Pathfinder + SKID)</t>
        </is>
      </c>
      <c r="B6" s="4" t="n">
        <v>2350185.003922199</v>
      </c>
      <c r="C6" s="5" t="n">
        <v>455462.2100624416</v>
      </c>
      <c r="D6" s="4" t="n">
        <v>2942881.297172801</v>
      </c>
      <c r="E6" s="5" t="n">
        <v>570325.8327854265</v>
      </c>
      <c r="F6" s="6" t="n">
        <v>0.7685427577995787</v>
      </c>
    </row>
    <row r="7">
      <c r="A7" t="inlineStr">
        <is>
          <t>2. Adaptation, Container &amp; Labor (Rollup GDT)</t>
        </is>
      </c>
      <c r="B7" s="4" t="n">
        <v>707790.6</v>
      </c>
      <c r="C7" s="5" t="n">
        <v>137168.7209302326</v>
      </c>
      <c r="D7" s="4" t="n">
        <v>886289.2561983471</v>
      </c>
      <c r="E7" s="5" t="n">
        <v>171761.4837593696</v>
      </c>
      <c r="F7" s="6" t="n">
        <v>0.2314572422004213</v>
      </c>
    </row>
    <row r="8">
      <c r="A8" s="2" t="inlineStr">
        <is>
          <t>TOTAL CONSOLIDATED GDT RAILCAR PROJECT</t>
        </is>
      </c>
      <c r="B8" s="7" t="n">
        <v>3057975.603922199</v>
      </c>
      <c r="C8" s="8" t="n">
        <v>592630.9309926742</v>
      </c>
      <c r="D8" s="7" t="n">
        <v>3829170.553371148</v>
      </c>
      <c r="E8" s="8" t="n">
        <v>742087.316544796</v>
      </c>
      <c r="F8" s="9" t="n">
        <v>1</v>
      </c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74" activePane="bottomLeft" state="frozen"/>
      <selection pane="bottomLeft" activeCell="F2" sqref="F2:F166"/>
    </sheetView>
  </sheetViews>
  <sheetFormatPr baseColWidth="8" defaultRowHeight="15"/>
  <cols>
    <col width="42" customWidth="1" style="11" min="1" max="1"/>
    <col width="59.85546875" customWidth="1" style="11" min="2" max="2"/>
    <col width="40" customWidth="1" style="11" min="3" max="3"/>
    <col width="21.7109375" customWidth="1" style="11" min="4" max="4"/>
    <col width="16" customWidth="1" style="11" min="5" max="5"/>
    <col width="27" customWidth="1" style="11" min="6" max="6"/>
    <col width="17.85546875" customWidth="1" style="11" min="7" max="7"/>
    <col width="23.140625" customWidth="1" style="11" min="8" max="8"/>
    <col width="19.140625" customWidth="1" style="11" min="9" max="9"/>
    <col width="32" customWidth="1" style="11" min="10" max="11"/>
    <col width="27" customWidth="1" style="11" min="12" max="12"/>
    <col width="22" customWidth="1" style="11" min="14" max="14"/>
    <col width="84" customWidth="1" style="11" min="15" max="15"/>
    <col width="9.140625" customWidth="1" style="11" min="16" max="16384"/>
  </cols>
  <sheetData>
    <row r="1" ht="45" customHeight="1">
      <c r="A1" s="10" t="inlineStr">
        <is>
          <t>Part Number</t>
        </is>
      </c>
      <c r="B1" s="10" t="inlineStr">
        <is>
          <t>Description</t>
        </is>
      </c>
      <c r="C1" s="10" t="inlineStr">
        <is>
          <t>System</t>
        </is>
      </c>
      <c r="D1" s="10" t="inlineStr">
        <is>
          <t>SubSystem</t>
        </is>
      </c>
      <c r="E1" s="10" t="inlineStr">
        <is>
          <t>Quantity</t>
        </is>
      </c>
      <c r="F1" s="10" t="inlineStr">
        <is>
          <t>BOM Price (USD Unit)</t>
        </is>
      </c>
      <c r="G1" s="10" t="inlineStr">
        <is>
          <t>Final Total Price USD (Excluding Taxes)</t>
        </is>
      </c>
      <c r="H1" s="10" t="inlineStr">
        <is>
          <t>Final Unit Price USD (Including Taxes)</t>
        </is>
      </c>
      <c r="I1" s="10" t="inlineStr">
        <is>
          <t>Final Total Price USD (Including Taxes)</t>
        </is>
      </c>
      <c r="J1" s="10" t="inlineStr">
        <is>
          <t>Total Price BRL (Excluding Taxes)</t>
        </is>
      </c>
      <c r="K1" s="10" t="inlineStr">
        <is>
          <t>Total Price BRL (Including Taxes)</t>
        </is>
      </c>
      <c r="L1" s="10" t="inlineStr">
        <is>
          <t>PAC Price (BRL Unit)</t>
        </is>
      </c>
      <c r="M1" t="inlineStr">
        <is>
          <t>BOM Price (USD Unit)</t>
        </is>
      </c>
      <c r="N1" s="10" t="inlineStr">
        <is>
          <t>Cost Source</t>
        </is>
      </c>
      <c r="O1" s="10" t="inlineStr">
        <is>
          <t>Status / Notes</t>
        </is>
      </c>
    </row>
    <row r="2">
      <c r="A2" s="11" t="inlineStr">
        <is>
          <t>41A296352CMP437</t>
        </is>
      </c>
      <c r="B2" s="11" t="inlineStr">
        <is>
          <t>Dual Processor Module (DPM)+ LXA (Distributed Power Radio)</t>
        </is>
      </c>
      <c r="C2" s="11" t="inlineStr">
        <is>
          <t>Controls (MCA, train control, er etc)</t>
        </is>
      </c>
      <c r="D2" s="11" t="inlineStr">
        <is>
          <t>LXA</t>
        </is>
      </c>
      <c r="E2" s="11" t="n">
        <v>1</v>
      </c>
      <c r="F2" s="12" t="n">
        <v>63100.8192</v>
      </c>
      <c r="G2" s="12" t="n">
        <v>101614.4950638996</v>
      </c>
      <c r="H2" s="12" t="n">
        <v>127240.7902127469</v>
      </c>
      <c r="I2" s="12" t="n">
        <v>127240.7902127469</v>
      </c>
      <c r="J2" s="13" t="n">
        <v>524330.7945297222</v>
      </c>
      <c r="K2" s="13" t="n">
        <v>656562.4774977738</v>
      </c>
      <c r="N2" s="11" t="inlineStr">
        <is>
          <t>Imported BOM (USA)</t>
        </is>
      </c>
      <c r="O2" s="11" t="inlineStr">
        <is>
          <t>Calculated with TP (17.2%) + International Freight (15%) + Import Duty (16%) + Domestic Freight (3%) | Qtd=1.0</t>
        </is>
      </c>
    </row>
    <row r="3">
      <c r="A3" s="11" t="inlineStr">
        <is>
          <t>41A296352LUG24</t>
        </is>
      </c>
      <c r="B3" s="11" t="inlineStr">
        <is>
          <t>CSX Antenna Enclosure Arrangement</t>
        </is>
      </c>
      <c r="C3" s="11" t="inlineStr">
        <is>
          <t>Connectivity</t>
        </is>
      </c>
      <c r="D3" s="11" t="inlineStr">
        <is>
          <t>ANTENNA KIT Master</t>
        </is>
      </c>
      <c r="E3" s="11" t="n">
        <v>1</v>
      </c>
      <c r="F3" s="12" t="n">
        <v>30000</v>
      </c>
      <c r="G3" s="12" t="n">
        <v>48310.5432</v>
      </c>
      <c r="H3" s="12" t="n">
        <v>60494.04357625845</v>
      </c>
      <c r="I3" s="12" t="n">
        <v>60494.04357625845</v>
      </c>
      <c r="J3" s="13" t="n">
        <v>249282.402912</v>
      </c>
      <c r="K3" s="13" t="n">
        <v>312149.2648534936</v>
      </c>
      <c r="N3" s="11" t="inlineStr">
        <is>
          <t>Imported BOM (USA)</t>
        </is>
      </c>
      <c r="O3" s="11" t="inlineStr">
        <is>
          <t>Calculated with TP (17.2%) + International Freight (15%) + Import Duty (16%) + Domestic Freight (3%) | Qtd=1.0</t>
        </is>
      </c>
    </row>
    <row r="4">
      <c r="A4" s="11" t="inlineStr">
        <is>
          <t>37495P</t>
        </is>
      </c>
      <c r="B4" s="11" t="inlineStr">
        <is>
          <t>KIT ETMS VIRGIN TRAINS FEC EVO44</t>
        </is>
      </c>
      <c r="C4" s="11" t="inlineStr">
        <is>
          <t>PTC</t>
        </is>
      </c>
      <c r="D4" s="11" t="inlineStr">
        <is>
          <t>PTC KIT MASTER</t>
        </is>
      </c>
      <c r="E4" s="11" t="n">
        <v>1</v>
      </c>
      <c r="F4" s="12" t="n">
        <v>28529</v>
      </c>
      <c r="G4" s="12" t="n">
        <v>45941.71623175999</v>
      </c>
      <c r="H4" s="12" t="n">
        <v>57527.81897290256</v>
      </c>
      <c r="I4" s="12" t="n">
        <v>57527.81897290256</v>
      </c>
      <c r="J4" s="13" t="n">
        <v>237059.2557558815</v>
      </c>
      <c r="K4" s="13" t="n">
        <v>296843.5459001772</v>
      </c>
      <c r="N4" s="11" t="inlineStr">
        <is>
          <t>Imported BOM (USA)</t>
        </is>
      </c>
      <c r="O4" s="11" t="inlineStr">
        <is>
          <t>Calculated with TP (17.2%) + International Freight (15%) + Import Duty (16%) + Domestic Freight (3%) | Qtd=1.0</t>
        </is>
      </c>
    </row>
    <row r="5" ht="30" customHeight="1">
      <c r="A5" s="11" t="inlineStr">
        <is>
          <t>84A215295P62</t>
        </is>
      </c>
      <c r="B5" s="11" t="inlineStr">
        <is>
          <t>Pneumatic Brake Control System (Including lament and control portions) Includes EM EAB Control Functionality</t>
        </is>
      </c>
      <c r="C5" s="11" t="inlineStr">
        <is>
          <t>Air</t>
        </is>
      </c>
      <c r="D5" s="11" t="inlineStr">
        <is>
          <t>Fastbrake</t>
        </is>
      </c>
      <c r="E5" s="11" t="n">
        <v>1</v>
      </c>
      <c r="F5" s="12" t="n">
        <v>23409.1</v>
      </c>
      <c r="G5" s="12" t="n">
        <v>37696.87789410399</v>
      </c>
      <c r="H5" s="12" t="n">
        <v>47203.70384936639</v>
      </c>
      <c r="I5" s="12" t="n">
        <v>47203.70384936639</v>
      </c>
      <c r="J5" s="13" t="n">
        <v>194515.8899335766</v>
      </c>
      <c r="K5" s="13" t="n">
        <v>243571.1118627306</v>
      </c>
      <c r="N5" s="11" t="inlineStr">
        <is>
          <t>Imported BOM (USA)</t>
        </is>
      </c>
      <c r="O5" s="11" t="inlineStr">
        <is>
          <t>Calculated with TP (17.2%) + International Freight (15%) + Import Duty (16%) + Domestic Freight (3%) | Qtd=1.0</t>
        </is>
      </c>
    </row>
    <row r="6">
      <c r="A6" s="11" t="inlineStr">
        <is>
          <t>41A296352DNP37</t>
        </is>
      </c>
      <c r="B6" s="11" t="inlineStr">
        <is>
          <t>RADIO PRAD PTC RADIO</t>
        </is>
      </c>
      <c r="C6" s="11" t="inlineStr">
        <is>
          <t>PTC</t>
        </is>
      </c>
      <c r="D6" s="11" t="inlineStr">
        <is>
          <t>PTC</t>
        </is>
      </c>
      <c r="E6" s="11" t="n">
        <v>1</v>
      </c>
      <c r="F6" s="12" t="n">
        <v>20000</v>
      </c>
      <c r="G6" s="12" t="n">
        <v>32207.0288</v>
      </c>
      <c r="H6" s="12" t="n">
        <v>40329.3623841723</v>
      </c>
      <c r="I6" s="12" t="n">
        <v>40329.3623841723</v>
      </c>
      <c r="J6" s="13" t="n">
        <v>166188.268608</v>
      </c>
      <c r="K6" s="13" t="n">
        <v>208099.5099023291</v>
      </c>
      <c r="N6" s="11" t="inlineStr">
        <is>
          <t>Imported BOM (USA)</t>
        </is>
      </c>
      <c r="O6" s="11" t="inlineStr">
        <is>
          <t>Calculated with TP (17.2%) + International Freight (15%) + Import Duty (16%) + Domestic Freight (3%) | Qtd=1.0</t>
        </is>
      </c>
    </row>
    <row r="7">
      <c r="A7" s="11" t="inlineStr">
        <is>
          <t>84A222059P5</t>
        </is>
      </c>
      <c r="B7" s="11" t="inlineStr">
        <is>
          <t>BATTERIES</t>
        </is>
      </c>
      <c r="C7" s="11" t="inlineStr">
        <is>
          <t>Power</t>
        </is>
      </c>
      <c r="D7" s="11" t="inlineStr">
        <is>
          <t>POWER</t>
        </is>
      </c>
      <c r="E7" s="11" t="n">
        <v>2</v>
      </c>
      <c r="F7" s="12" t="n">
        <v>15685.42</v>
      </c>
      <c r="G7" s="12" t="n">
        <v>50518.0773680096</v>
      </c>
      <c r="H7" s="12" t="n">
        <v>31629.1493663972</v>
      </c>
      <c r="I7" s="12" t="n">
        <v>63258.29873279439</v>
      </c>
      <c r="J7" s="13" t="n">
        <v>260673.2792189295</v>
      </c>
      <c r="K7" s="13" t="n">
        <v>326412.821461219</v>
      </c>
      <c r="N7" s="11" t="inlineStr">
        <is>
          <t>Imported BOM (USA)</t>
        </is>
      </c>
      <c r="O7" s="11" t="inlineStr">
        <is>
          <t>Calculated with TP (17.2%) + International Freight (15%) + Import Duty (16%) + Domestic Freight (3%) | Qtd=2.0</t>
        </is>
      </c>
      <c r="P7" s="11">
        <f>63</f>
        <v/>
      </c>
    </row>
    <row r="8">
      <c r="A8" s="11" t="inlineStr">
        <is>
          <t>84A237085AEP121</t>
        </is>
      </c>
      <c r="B8" s="11" t="inlineStr">
        <is>
          <t>8 Slot ACC Chassis for MCA w/ i7 HPEAP and SMM2 Cards</t>
        </is>
      </c>
      <c r="C8" s="11" t="inlineStr">
        <is>
          <t>Controls (MCA, train control, er etc)</t>
        </is>
      </c>
      <c r="D8" s="11" t="inlineStr">
        <is>
          <t>TRAIN CONTROL</t>
        </is>
      </c>
      <c r="E8" s="11" t="n">
        <v>1</v>
      </c>
      <c r="F8" s="12" t="n">
        <v>8000</v>
      </c>
      <c r="G8" s="12" t="n">
        <v>12882.81152</v>
      </c>
      <c r="H8" s="12" t="n">
        <v>16131.74495366892</v>
      </c>
      <c r="I8" s="12" t="n">
        <v>16131.74495366892</v>
      </c>
      <c r="J8" s="13" t="n">
        <v>66475.3074432</v>
      </c>
      <c r="K8" s="13" t="n">
        <v>83239.80396093163</v>
      </c>
      <c r="N8" s="11" t="inlineStr">
        <is>
          <t>Imported BOM (USA)</t>
        </is>
      </c>
      <c r="O8" s="11" t="inlineStr">
        <is>
          <t>Calculated with TP (17.2%) + International Freight (15%) + Import Duty (16%) + Domestic Freight (3%) | Qtd=1.0</t>
        </is>
      </c>
    </row>
    <row r="9">
      <c r="A9" s="11" t="inlineStr">
        <is>
          <t>17KC108E28</t>
        </is>
      </c>
      <c r="B9" s="11" t="inlineStr">
        <is>
          <t>MASTER CONTROLLER</t>
        </is>
      </c>
      <c r="C9" s="11" t="inlineStr">
        <is>
          <t>Controls (MCA, train control, er etc)</t>
        </is>
      </c>
      <c r="D9" s="11" t="inlineStr">
        <is>
          <t>TRAIN CONTROL</t>
        </is>
      </c>
      <c r="E9" s="11" t="n">
        <v>1</v>
      </c>
      <c r="F9" s="12" t="n">
        <v>5877.102</v>
      </c>
      <c r="G9" s="12" t="n">
        <v>9464.19966872688</v>
      </c>
      <c r="H9" s="12" t="n">
        <v>11850.98881633719</v>
      </c>
      <c r="I9" s="12" t="n">
        <v>11850.98881633719</v>
      </c>
      <c r="J9" s="13" t="n">
        <v>48835.2702906307</v>
      </c>
      <c r="K9" s="13" t="n">
        <v>61151.1022922999</v>
      </c>
      <c r="N9" s="11" t="inlineStr">
        <is>
          <t>Imported BOM (USA)</t>
        </is>
      </c>
      <c r="O9" s="11" t="inlineStr">
        <is>
          <t>Calculated with TP (17.2%) + International Freight (15%) + Import Duty (16%) + Domestic Freight (3%) | Qtd=1.0</t>
        </is>
      </c>
    </row>
    <row r="10">
      <c r="A10" s="11" t="inlineStr">
        <is>
          <t>84A215295P73</t>
        </is>
      </c>
      <c r="B10" s="11" t="inlineStr">
        <is>
          <t>Air Brake Handle Assembly (AAR Console)</t>
        </is>
      </c>
      <c r="C10" s="11" t="inlineStr">
        <is>
          <t>Air</t>
        </is>
      </c>
      <c r="D10" s="11" t="inlineStr">
        <is>
          <t>Fastbrake</t>
        </is>
      </c>
      <c r="E10" s="11" t="n">
        <v>1</v>
      </c>
      <c r="F10" s="12" t="n">
        <v>5702.83</v>
      </c>
      <c r="G10" s="12" t="n">
        <v>9183.560502575199</v>
      </c>
      <c r="H10" s="12" t="n">
        <v>11499.57488426647</v>
      </c>
      <c r="I10" s="12" t="n">
        <v>11499.57488426647</v>
      </c>
      <c r="J10" s="13" t="n">
        <v>47387.17219328803</v>
      </c>
      <c r="K10" s="13" t="n">
        <v>59337.80640281497</v>
      </c>
      <c r="N10" s="11" t="inlineStr">
        <is>
          <t>Imported BOM (USA)</t>
        </is>
      </c>
      <c r="O10" s="11" t="inlineStr">
        <is>
          <t>Calculated with TP (17.2%) + International Freight (15%) + Import Duty (16%) + Domestic Freight (3%) | Qtd=1.0</t>
        </is>
      </c>
    </row>
    <row r="11">
      <c r="A11" s="11" t="inlineStr">
        <is>
          <t>17FM878A6</t>
        </is>
      </c>
      <c r="B11" s="11" t="inlineStr">
        <is>
          <t>NIO 2.0</t>
        </is>
      </c>
      <c r="C11" s="11" t="inlineStr">
        <is>
          <t>Controls (MCA, train control, er etc)</t>
        </is>
      </c>
      <c r="D11" s="11" t="inlineStr">
        <is>
          <t>MCA</t>
        </is>
      </c>
      <c r="E11" s="11" t="n">
        <v>3</v>
      </c>
      <c r="F11" s="12" t="n">
        <v>5176.9118</v>
      </c>
      <c r="G11" s="12" t="n">
        <v>25009.94211564897</v>
      </c>
      <c r="H11" s="12" t="n">
        <v>10439.07760065489</v>
      </c>
      <c r="I11" s="12" t="n">
        <v>31317.23280196466</v>
      </c>
      <c r="J11" s="13" t="n">
        <v>129051.3013167487</v>
      </c>
      <c r="K11" s="13" t="n">
        <v>161596.9212581376</v>
      </c>
      <c r="N11" s="11" t="inlineStr">
        <is>
          <t>Imported BOM (USA)</t>
        </is>
      </c>
      <c r="O11" s="11" t="inlineStr">
        <is>
          <t>Calculated with TP (17.2%) + International Freight (15%) + Import Duty (16%) + Domestic Freight (3%) | Qtd=3.0</t>
        </is>
      </c>
    </row>
    <row r="12">
      <c r="A12" s="11" t="inlineStr">
        <is>
          <t>L7000083-900</t>
        </is>
      </c>
      <c r="B12" s="11" t="inlineStr">
        <is>
          <t>Wireless Communications Management Module, Gen 3 (WCM3)​</t>
        </is>
      </c>
      <c r="C12" s="11" t="inlineStr">
        <is>
          <t>Controls (MCA, train control, er etc)</t>
        </is>
      </c>
      <c r="D12" s="11" t="inlineStr">
        <is>
          <t>TRAIN CONTROL</t>
        </is>
      </c>
      <c r="E12" s="11" t="n">
        <v>2</v>
      </c>
      <c r="F12" s="12" t="n">
        <v>5000</v>
      </c>
      <c r="G12" s="12" t="n">
        <v>16103.5144</v>
      </c>
      <c r="H12" s="12" t="n">
        <v>10082.34059604308</v>
      </c>
      <c r="I12" s="12" t="n">
        <v>20164.68119208615</v>
      </c>
      <c r="J12" s="13" t="n">
        <v>83094.13430400001</v>
      </c>
      <c r="K12" s="13" t="n">
        <v>104049.7549511645</v>
      </c>
      <c r="N12" s="11" t="inlineStr">
        <is>
          <t>Imported BOM (USA)</t>
        </is>
      </c>
      <c r="O12" s="11" t="inlineStr">
        <is>
          <t>Calculated with TP (17.2%) + International Freight (15%) + Import Duty (16%) + Domestic Freight (3%) | Qtd=2.0</t>
        </is>
      </c>
    </row>
    <row r="13">
      <c r="A13" s="11" t="inlineStr">
        <is>
          <t>41A296352VHP1</t>
        </is>
      </c>
      <c r="B13" s="11" t="inlineStr">
        <is>
          <t>GEW LAYER 3 ETH ERNET SWITCH</t>
        </is>
      </c>
      <c r="C13" s="11" t="inlineStr">
        <is>
          <t>Controls (MCA, train control, er etc)</t>
        </is>
      </c>
      <c r="D13" s="11" t="inlineStr">
        <is>
          <t>MCA</t>
        </is>
      </c>
      <c r="E13" s="11" t="n">
        <v>2</v>
      </c>
      <c r="G13" s="12" t="n">
        <v>15104.51926106248</v>
      </c>
      <c r="H13" s="12" t="n">
        <v>9456.87406778267</v>
      </c>
      <c r="I13" s="12" t="n">
        <v>18913.74813556534</v>
      </c>
      <c r="J13" s="13" t="n">
        <v>77939.3193870824</v>
      </c>
      <c r="K13" s="13" t="n">
        <v>97594.94037951715</v>
      </c>
      <c r="L13" s="13" t="n">
        <v>38969.6596935412</v>
      </c>
      <c r="N13" s="11" t="inlineStr">
        <is>
          <t>PAC (Brazil BRL)</t>
        </is>
      </c>
      <c r="O13" s="11" t="inlineStr">
        <is>
          <t>Brazilian factory PAC price (local Brazilian cost)</t>
        </is>
      </c>
    </row>
    <row r="14">
      <c r="A14" s="11" t="inlineStr">
        <is>
          <t>17FM868B2</t>
        </is>
      </c>
      <c r="B14" s="11" t="inlineStr">
        <is>
          <t>SNIO</t>
        </is>
      </c>
      <c r="C14" s="11" t="inlineStr">
        <is>
          <t>Controls (MCA, train control, er etc)</t>
        </is>
      </c>
      <c r="D14" s="11" t="inlineStr">
        <is>
          <t>MCA</t>
        </is>
      </c>
      <c r="E14" s="11" t="n">
        <v>1</v>
      </c>
      <c r="F14" s="12" t="n">
        <v>4150.9559</v>
      </c>
      <c r="G14" s="12" t="n">
        <v>6684.497810941496</v>
      </c>
      <c r="H14" s="12" t="n">
        <v>8370.270236590904</v>
      </c>
      <c r="I14" s="12" t="n">
        <v>8370.270236590904</v>
      </c>
      <c r="J14" s="13" t="n">
        <v>34492.00870445812</v>
      </c>
      <c r="K14" s="13" t="n">
        <v>43190.59442080907</v>
      </c>
      <c r="N14" s="11" t="inlineStr">
        <is>
          <t>Imported BOM (USA)</t>
        </is>
      </c>
      <c r="O14" s="11" t="inlineStr">
        <is>
          <t>Calculated with TP (17.2%) + International Freight (15%) + Import Duty (16%) + Domestic Freight (3%) | Qtd=1.0</t>
        </is>
      </c>
    </row>
    <row r="15">
      <c r="A15" s="11" t="inlineStr">
        <is>
          <t>41A296352DNP55</t>
        </is>
      </c>
      <c r="B15" s="11" t="inlineStr">
        <is>
          <t>VOICE RADIO RITRON</t>
        </is>
      </c>
      <c r="C15" s="11" t="inlineStr">
        <is>
          <t>Connectivity</t>
        </is>
      </c>
      <c r="D15" s="11" t="inlineStr">
        <is>
          <t>VOICE RADIO</t>
        </is>
      </c>
      <c r="E15" s="11" t="n">
        <v>1</v>
      </c>
      <c r="F15" s="12" t="n">
        <v>3933</v>
      </c>
      <c r="G15" s="12" t="n">
        <v>6333.51221352</v>
      </c>
      <c r="H15" s="12" t="n">
        <v>7930.769112847483</v>
      </c>
      <c r="I15" s="12" t="n">
        <v>7930.769112847483</v>
      </c>
      <c r="J15" s="13" t="n">
        <v>32680.9230217632</v>
      </c>
      <c r="K15" s="13" t="n">
        <v>40922.76862229301</v>
      </c>
      <c r="N15" s="11" t="inlineStr">
        <is>
          <t>Imported BOM (USA)</t>
        </is>
      </c>
      <c r="O15" s="11" t="inlineStr">
        <is>
          <t>Calculated with TP (17.2%) + International Freight (15%) + Import Duty (16%) + Domestic Freight (3%) | Qtd=1.0</t>
        </is>
      </c>
    </row>
    <row r="16">
      <c r="A16" s="11" t="inlineStr">
        <is>
          <t>32613P</t>
        </is>
      </c>
      <c r="B16" s="11" t="inlineStr">
        <is>
          <t>KIT ETMS AXLE INTERFACE FOR WPart Number 29266P</t>
        </is>
      </c>
      <c r="C16" s="11" t="inlineStr">
        <is>
          <t>PTC</t>
        </is>
      </c>
      <c r="D16" s="11" t="inlineStr">
        <is>
          <t>PTC</t>
        </is>
      </c>
      <c r="E16" s="11" t="n">
        <v>1</v>
      </c>
      <c r="F16" s="12" t="n">
        <v>2981.71</v>
      </c>
      <c r="G16" s="12" t="n">
        <v>4801.6009921624</v>
      </c>
      <c r="H16" s="12" t="n">
        <v>6012.52315572552</v>
      </c>
      <c r="I16" s="12" t="n">
        <v>6012.52315572552</v>
      </c>
      <c r="J16" s="13" t="n">
        <v>24776.26111955798</v>
      </c>
      <c r="K16" s="13" t="n">
        <v>31024.61948354368</v>
      </c>
      <c r="N16" s="11" t="inlineStr">
        <is>
          <t>Imported BOM (USA)</t>
        </is>
      </c>
      <c r="O16" s="11" t="inlineStr">
        <is>
          <t>Calculated with TP (17.2%) + International Freight (15%) + Import Duty (16%) + Domestic Freight (3%) | Qtd=1.0</t>
        </is>
      </c>
    </row>
    <row r="17">
      <c r="A17" s="11" t="inlineStr">
        <is>
          <t>41B546155P2</t>
        </is>
      </c>
      <c r="B17" s="11" t="inlineStr">
        <is>
          <t>Horn</t>
        </is>
      </c>
      <c r="C17" s="11" t="inlineStr">
        <is>
          <t>Controls (MCA, train control, er etc)</t>
        </is>
      </c>
      <c r="D17" s="11" t="inlineStr">
        <is>
          <t>TRAIN CONTROL</t>
        </is>
      </c>
      <c r="E17" s="11" t="n">
        <v>1</v>
      </c>
      <c r="F17" s="12" t="n">
        <v>1891.99</v>
      </c>
      <c r="G17" s="12" t="n">
        <v>3046.7688209656</v>
      </c>
      <c r="H17" s="12" t="n">
        <v>3815.137516861508</v>
      </c>
      <c r="I17" s="12" t="n">
        <v>3815.137516861508</v>
      </c>
      <c r="J17" s="13" t="n">
        <v>15721.3271161825</v>
      </c>
      <c r="K17" s="13" t="n">
        <v>19686.10958700538</v>
      </c>
      <c r="N17" s="11" t="inlineStr">
        <is>
          <t>Imported BOM (USA)</t>
        </is>
      </c>
      <c r="O17" s="11" t="inlineStr">
        <is>
          <t>Calculated with TP (17.2%) + International Freight (15%) + Import Duty (16%) + Domestic Freight (3%) | Qtd=1.0</t>
        </is>
      </c>
    </row>
    <row r="18">
      <c r="A18" s="11" t="inlineStr">
        <is>
          <t>17FH40X1</t>
        </is>
      </c>
      <c r="B18" s="11" t="inlineStr">
        <is>
          <t>LPS 17FH40 (COMMON LOGIC POWER SUPPLY) (5v, 15v, 19v, 24v)</t>
        </is>
      </c>
      <c r="C18" s="11" t="inlineStr">
        <is>
          <t>POWER</t>
        </is>
      </c>
      <c r="D18" s="11" t="inlineStr">
        <is>
          <t>POWER SUPPLY</t>
        </is>
      </c>
      <c r="E18" s="11" t="n">
        <v>1</v>
      </c>
      <c r="G18" s="12" t="n">
        <v>2915.027113794261</v>
      </c>
      <c r="H18" s="12" t="n">
        <v>3650.171692705061</v>
      </c>
      <c r="I18" s="12" t="n">
        <v>3650.171692705061</v>
      </c>
      <c r="J18" s="13" t="n">
        <v>15041.53990717839</v>
      </c>
      <c r="K18" s="13" t="n">
        <v>18834.88593435811</v>
      </c>
      <c r="L18" s="13" t="n">
        <v>15041.53990717839</v>
      </c>
      <c r="N18" s="11" t="inlineStr">
        <is>
          <t>PAC (Brazil BRL)</t>
        </is>
      </c>
      <c r="O18" s="11" t="inlineStr">
        <is>
          <t>Brazilian factory PAC price (local Brazilian cost)</t>
        </is>
      </c>
    </row>
    <row r="19">
      <c r="A19" s="11" t="inlineStr">
        <is>
          <t>41D758679BJG16 	84D704379AFG1</t>
        </is>
      </c>
      <c r="B19" s="11" t="inlineStr">
        <is>
          <t>EC Part NumberL ASM</t>
        </is>
      </c>
      <c r="C19" s="11" t="inlineStr">
        <is>
          <t>Power</t>
        </is>
      </c>
      <c r="D19" s="11" t="inlineStr">
        <is>
          <t>Circuit Breaker</t>
        </is>
      </c>
      <c r="E19" s="11" t="n">
        <v>1</v>
      </c>
      <c r="F19" s="12" t="n">
        <v>1572.36</v>
      </c>
      <c r="G19" s="12" t="n">
        <v>2532.0521901984</v>
      </c>
      <c r="H19" s="12" t="n">
        <v>3170.613811918858</v>
      </c>
      <c r="I19" s="12" t="n">
        <v>3170.613811918858</v>
      </c>
      <c r="J19" s="13" t="n">
        <v>13065.38930142374</v>
      </c>
      <c r="K19" s="13" t="n">
        <v>16360.36726950131</v>
      </c>
      <c r="N19" s="11" t="inlineStr">
        <is>
          <t>Imported BOM (USA)</t>
        </is>
      </c>
      <c r="O19" s="11" t="inlineStr">
        <is>
          <t>Calculated with TP (17.2%) + International Freight (15%) + Import Duty (16%) + Domestic Freight (3%) | Qtd=1.0</t>
        </is>
      </c>
    </row>
    <row r="20">
      <c r="A20" s="11" t="inlineStr">
        <is>
          <t>17FM839B1</t>
        </is>
      </c>
      <c r="B20" s="11" t="inlineStr">
        <is>
          <t>PANEL ASM CFD - Thin Client Display</t>
        </is>
      </c>
      <c r="C20" s="11" t="inlineStr">
        <is>
          <t>Controls (MCA, train control, er etc)</t>
        </is>
      </c>
      <c r="D20" s="11" t="inlineStr">
        <is>
          <t>MCA</t>
        </is>
      </c>
      <c r="E20" s="11" t="n">
        <v>1</v>
      </c>
      <c r="G20" s="12" t="n">
        <v>2248.782356237519</v>
      </c>
      <c r="H20" s="12" t="n">
        <v>2815.905780412621</v>
      </c>
      <c r="I20" s="12" t="n">
        <v>2815.905780412621</v>
      </c>
      <c r="J20" s="13" t="n">
        <v>11603.7169581856</v>
      </c>
      <c r="K20" s="13" t="n">
        <v>14530.07382692913</v>
      </c>
      <c r="L20" s="13" t="n">
        <v>11603.7169581856</v>
      </c>
      <c r="N20" s="11" t="inlineStr">
        <is>
          <t>PAC (Brazil BRL)</t>
        </is>
      </c>
      <c r="O20" s="11" t="inlineStr">
        <is>
          <t>Brazilian factory PAC price (local Brazilian cost)</t>
        </is>
      </c>
    </row>
    <row r="21">
      <c r="A21" s="11" t="inlineStr">
        <is>
          <t>84A201003DAP1</t>
        </is>
      </c>
      <c r="B21" s="11" t="inlineStr">
        <is>
          <t>ELECTRIC Bell</t>
        </is>
      </c>
      <c r="C21" s="11" t="inlineStr">
        <is>
          <t>Controls (MCA, train control, er etc)</t>
        </is>
      </c>
      <c r="D21" s="11" t="inlineStr">
        <is>
          <t>TRAIN CONTROL</t>
        </is>
      </c>
      <c r="E21" s="11" t="n">
        <v>1</v>
      </c>
      <c r="G21" s="12" t="n">
        <v>1839.42966718041</v>
      </c>
      <c r="H21" s="12" t="n">
        <v>2303.317890283509</v>
      </c>
      <c r="I21" s="12" t="n">
        <v>2303.317890283509</v>
      </c>
      <c r="J21" s="13" t="n">
        <v>9491.457082650917</v>
      </c>
      <c r="K21" s="13" t="n">
        <v>11885.12031386291</v>
      </c>
      <c r="L21" s="13" t="n">
        <v>9491.457082650917</v>
      </c>
      <c r="N21" s="11" t="inlineStr">
        <is>
          <t>PAC (Brazil BRL)</t>
        </is>
      </c>
      <c r="O21" s="11" t="inlineStr">
        <is>
          <t>Brazilian factory PAC price (local Brazilian cost)</t>
        </is>
      </c>
    </row>
    <row r="22">
      <c r="A22" s="11" t="inlineStr">
        <is>
          <t>84A215295P3</t>
        </is>
      </c>
      <c r="B22" s="11" t="inlineStr">
        <is>
          <t>POU-to-Handle cable 18' length</t>
        </is>
      </c>
      <c r="C22" s="11" t="inlineStr">
        <is>
          <t>Air</t>
        </is>
      </c>
      <c r="D22" s="11" t="inlineStr">
        <is>
          <t>Fastbrake</t>
        </is>
      </c>
      <c r="E22" s="11" t="n">
        <v>1</v>
      </c>
      <c r="F22" s="12" t="n">
        <v>1036.89</v>
      </c>
      <c r="G22" s="12" t="n">
        <v>1669.7573046216</v>
      </c>
      <c r="H22" s="12" t="n">
        <v>2090.855628126221</v>
      </c>
      <c r="I22" s="12" t="n">
        <v>2090.855628126221</v>
      </c>
      <c r="J22" s="13" t="n">
        <v>8615.947691847457</v>
      </c>
      <c r="K22" s="13" t="n">
        <v>10788.8150411313</v>
      </c>
      <c r="N22" s="11" t="inlineStr">
        <is>
          <t>Imported BOM (USA)</t>
        </is>
      </c>
      <c r="O22" s="11" t="inlineStr">
        <is>
          <t>Calculated with TP (17.2%) + International Freight (15%) + Import Duty (16%) + Domestic Freight (3%) | Qtd=1.0</t>
        </is>
      </c>
    </row>
    <row r="23" ht="30" customHeight="1">
      <c r="A23" s="11" t="inlineStr">
        <is>
          <t>41B566322ACG1</t>
        </is>
      </c>
      <c r="B23" s="11" t="inlineStr">
        <is>
          <t>TRAINLINE RESISTOR PANEL</t>
        </is>
      </c>
      <c r="C23" s="11" t="inlineStr">
        <is>
          <t>SKID Assembly</t>
        </is>
      </c>
      <c r="D23" s="11" t="inlineStr">
        <is>
          <t>Controls (MCA, train control, er etc)</t>
        </is>
      </c>
      <c r="E23" s="11" t="n">
        <v>1</v>
      </c>
      <c r="G23" s="12" t="n">
        <v>1306.741732678276</v>
      </c>
      <c r="H23" s="12" t="n">
        <v>1636.29067452827</v>
      </c>
      <c r="I23" s="12" t="n">
        <v>1636.29067452827</v>
      </c>
      <c r="J23" s="13" t="n">
        <v>6742.787340619905</v>
      </c>
      <c r="K23" s="13" t="n">
        <v>8443.259880565873</v>
      </c>
      <c r="L23" s="13" t="n">
        <v>6742.787340619905</v>
      </c>
      <c r="N23" s="11" t="inlineStr">
        <is>
          <t>PAC (Brazil BRL)</t>
        </is>
      </c>
      <c r="O23" s="11" t="inlineStr">
        <is>
          <t>Brazilian factory PAC price (local Brazilian cost)</t>
        </is>
      </c>
    </row>
    <row r="24" ht="30" customHeight="1">
      <c r="A24" s="11" t="inlineStr">
        <is>
          <t>RCCR-RMTCBL-RA-CUSTOM</t>
        </is>
      </c>
      <c r="B24" s="11" t="inlineStr">
        <is>
          <t>VOICE RADIO RITRON CABLE,REMOTE,RR-225/XXX, RCCR,RIGHT
ANGLE,19-PIN,FLAME RETARDANT</t>
        </is>
      </c>
      <c r="C24" s="11" t="inlineStr">
        <is>
          <t>Connectivity</t>
        </is>
      </c>
      <c r="D24" s="11" t="inlineStr">
        <is>
          <t>VOICE RADIO</t>
        </is>
      </c>
      <c r="E24" s="11" t="n">
        <v>1</v>
      </c>
      <c r="F24" s="12" t="n">
        <v>761</v>
      </c>
      <c r="G24" s="12" t="n">
        <v>1225.47744584</v>
      </c>
      <c r="H24" s="12" t="n">
        <v>1534.532238717756</v>
      </c>
      <c r="I24" s="12" t="n">
        <v>1534.532238717756</v>
      </c>
      <c r="J24" s="13" t="n">
        <v>6323.4636205344</v>
      </c>
      <c r="K24" s="13" t="n">
        <v>7918.186351783621</v>
      </c>
      <c r="N24" s="11" t="inlineStr">
        <is>
          <t>Imported BOM (USA)</t>
        </is>
      </c>
      <c r="O24" s="11" t="inlineStr">
        <is>
          <t>Calculated with TP (17.2%) + International Freight (15%) + Import Duty (16%) + Domestic Freight (3%) | Qtd=1.0</t>
        </is>
      </c>
    </row>
    <row r="25">
      <c r="A25" s="11" t="inlineStr">
        <is>
          <t>41A296327ATP1</t>
        </is>
      </c>
      <c r="B25" s="11" t="inlineStr">
        <is>
          <t>BATTERY SAVER CONTACTOR</t>
        </is>
      </c>
      <c r="C25" s="11" t="inlineStr">
        <is>
          <t>Controls (MCA, train control, er etc)</t>
        </is>
      </c>
      <c r="D25" s="11" t="inlineStr">
        <is>
          <t>TRAIN CONTROL</t>
        </is>
      </c>
      <c r="E25" s="11" t="n">
        <v>1</v>
      </c>
      <c r="G25" s="12" t="n">
        <v>988.6213153255815</v>
      </c>
      <c r="H25" s="12" t="n">
        <v>1237.943044484825</v>
      </c>
      <c r="I25" s="12" t="n">
        <v>1237.943044484825</v>
      </c>
      <c r="J25" s="13" t="n">
        <v>5101.28598708</v>
      </c>
      <c r="K25" s="13" t="n">
        <v>6387.786109541698</v>
      </c>
      <c r="L25" s="13" t="n">
        <v>5101.28598708</v>
      </c>
      <c r="N25" s="11" t="inlineStr">
        <is>
          <t>PAC (Brazil BRL)</t>
        </is>
      </c>
      <c r="O25" s="11" t="inlineStr">
        <is>
          <t>Brazilian factory PAC price (local Brazilian cost)</t>
        </is>
      </c>
    </row>
    <row r="26" ht="30" customHeight="1">
      <c r="A26" s="11" t="inlineStr">
        <is>
          <t>41A296352PTP306/41A296352PTP122</t>
        </is>
      </c>
      <c r="B26" s="11" t="inlineStr">
        <is>
          <t>Assembled Air Manifold (Contains 3 pressure sensors mounted in appropriate locations on Air Manifold.)</t>
        </is>
      </c>
      <c r="C26" s="11" t="inlineStr">
        <is>
          <t>PTC</t>
        </is>
      </c>
      <c r="D26" s="11" t="inlineStr">
        <is>
          <t>PTC</t>
        </is>
      </c>
      <c r="E26" s="11" t="n">
        <v>1</v>
      </c>
      <c r="F26" s="12" t="n">
        <v>595.7889</v>
      </c>
      <c r="G26" s="12" t="n">
        <v>959.429513051016</v>
      </c>
      <c r="H26" s="12" t="n">
        <v>1201.38932262837</v>
      </c>
      <c r="I26" s="12" t="n">
        <v>1201.38932262837</v>
      </c>
      <c r="J26" s="13" t="n">
        <v>4950.656287343242</v>
      </c>
      <c r="K26" s="13" t="n">
        <v>6199.168904762388</v>
      </c>
      <c r="N26" s="11" t="inlineStr">
        <is>
          <t>Imported BOM (USA)</t>
        </is>
      </c>
      <c r="O26" s="11" t="inlineStr">
        <is>
          <t>Calculated with TP (17.2%) + International Freight (15%) + Import Duty (16%) + Domestic Freight (3%) | Qtd=1.0</t>
        </is>
      </c>
    </row>
    <row r="27">
      <c r="A27" s="11" t="inlineStr">
        <is>
          <t>41C663693G1</t>
        </is>
      </c>
      <c r="B27" s="11" t="inlineStr">
        <is>
          <t>PANEL CPF</t>
        </is>
      </c>
      <c r="C27" s="11" t="inlineStr">
        <is>
          <t>Power</t>
        </is>
      </c>
      <c r="D27" s="11" t="inlineStr">
        <is>
          <t>POWER</t>
        </is>
      </c>
      <c r="E27" s="11" t="n">
        <v>1</v>
      </c>
      <c r="G27" s="12" t="n">
        <v>924.6103348283108</v>
      </c>
      <c r="H27" s="12" t="n">
        <v>1157.789049371789</v>
      </c>
      <c r="I27" s="12" t="n">
        <v>1157.789049371789</v>
      </c>
      <c r="J27" s="13" t="n">
        <v>4770.989327714084</v>
      </c>
      <c r="K27" s="13" t="n">
        <v>5974.191494758432</v>
      </c>
      <c r="L27" s="13" t="n">
        <v>4770.989327714084</v>
      </c>
      <c r="N27" s="11" t="inlineStr">
        <is>
          <t>PAC (Brazil BRL)</t>
        </is>
      </c>
      <c r="O27" s="11" t="inlineStr">
        <is>
          <t>Brazilian factory PAC price (local Brazilian cost)</t>
        </is>
      </c>
    </row>
    <row r="28">
      <c r="A28" s="11" t="inlineStr">
        <is>
          <t>32447P</t>
        </is>
      </c>
      <c r="B28" s="11" t="inlineStr">
        <is>
          <t>ASY CABLE WHEEL TACH AC EVO/SD70 ACE</t>
        </is>
      </c>
      <c r="C28" s="11" t="inlineStr">
        <is>
          <t>PTC</t>
        </is>
      </c>
      <c r="D28" s="11" t="inlineStr">
        <is>
          <t>PTC</t>
        </is>
      </c>
      <c r="E28" s="11" t="n">
        <v>1</v>
      </c>
      <c r="F28" s="12" t="n">
        <v>411.22</v>
      </c>
      <c r="G28" s="12" t="n">
        <v>662.2087191567999</v>
      </c>
      <c r="H28" s="12" t="n">
        <v>829.2120199809666</v>
      </c>
      <c r="I28" s="12" t="n">
        <v>829.2120199809666</v>
      </c>
      <c r="J28" s="13" t="n">
        <v>3416.996990849088</v>
      </c>
      <c r="K28" s="13" t="n">
        <v>4278.734023101788</v>
      </c>
      <c r="N28" s="11" t="inlineStr">
        <is>
          <t>Imported BOM (USA)</t>
        </is>
      </c>
      <c r="O28" s="11" t="inlineStr">
        <is>
          <t>Calculated with TP (17.2%) + International Freight (15%) + Import Duty (16%) + Domestic Freight (3%) | Qtd=1.0</t>
        </is>
      </c>
    </row>
    <row r="29" ht="30" customHeight="1">
      <c r="A29" s="11" t="inlineStr">
        <is>
          <t>41A296352PTP10/319/34</t>
        </is>
      </c>
      <c r="B29" s="11" t="inlineStr">
        <is>
          <t>VALVE Part NumberEUMATIC NC/CO (Penalty Magnet Valve) Graham-White 812-142</t>
        </is>
      </c>
      <c r="C29" s="11" t="inlineStr">
        <is>
          <t>PTC</t>
        </is>
      </c>
      <c r="D29" s="11" t="inlineStr">
        <is>
          <t>PTC</t>
        </is>
      </c>
      <c r="E29" s="11" t="n">
        <v>1</v>
      </c>
      <c r="F29" s="12" t="n">
        <v>404.6239</v>
      </c>
      <c r="G29" s="12" t="n">
        <v>651.586680023416</v>
      </c>
      <c r="H29" s="12" t="n">
        <v>815.9111946198548</v>
      </c>
      <c r="I29" s="12" t="n">
        <v>815.9111946198548</v>
      </c>
      <c r="J29" s="13" t="n">
        <v>3362.187268920827</v>
      </c>
      <c r="K29" s="13" t="n">
        <v>4210.10176423845</v>
      </c>
      <c r="N29" s="11" t="inlineStr">
        <is>
          <t>Imported BOM (USA)</t>
        </is>
      </c>
      <c r="O29" s="11" t="inlineStr">
        <is>
          <t>Calculated with TP (17.2%) + International Freight (15%) + Import Duty (16%) + Domestic Freight (3%) | Qtd=1.0</t>
        </is>
      </c>
    </row>
    <row r="30" ht="30" customHeight="1">
      <c r="A30" s="11" t="inlineStr">
        <is>
          <t>84A201150ACP2</t>
        </is>
      </c>
      <c r="B30" s="11" t="inlineStr">
        <is>
          <t>CROSSING BELL PUSH BUTTON
SWITCH</t>
        </is>
      </c>
      <c r="C30" s="11" t="inlineStr">
        <is>
          <t>Controls (MCA, train control, er etc)</t>
        </is>
      </c>
      <c r="D30" s="11" t="inlineStr">
        <is>
          <t>TRAIN CONTROL</t>
        </is>
      </c>
      <c r="E30" s="11" t="n">
        <v>1</v>
      </c>
      <c r="G30" s="12" t="n">
        <v>551.0420287995571</v>
      </c>
      <c r="H30" s="12" t="n">
        <v>690.0100535932345</v>
      </c>
      <c r="I30" s="12" t="n">
        <v>690.0100535932345</v>
      </c>
      <c r="J30" s="13" t="n">
        <v>2843.376868605715</v>
      </c>
      <c r="K30" s="13" t="n">
        <v>3560.45187654109</v>
      </c>
      <c r="L30" s="13" t="n">
        <v>2843.376868605715</v>
      </c>
      <c r="N30" s="11" t="inlineStr">
        <is>
          <t>PAC (Brazil BRL)</t>
        </is>
      </c>
      <c r="O30" s="11" t="inlineStr">
        <is>
          <t>Brazilian factory PAC price (local Brazilian cost)</t>
        </is>
      </c>
    </row>
    <row r="31">
      <c r="A31" s="11" t="inlineStr">
        <is>
          <t>17FH37A6</t>
        </is>
      </c>
      <c r="B31" s="11" t="inlineStr">
        <is>
          <t>RPS Power Panel - Radio Power Supply - 15V</t>
        </is>
      </c>
      <c r="C31" s="11" t="inlineStr">
        <is>
          <t>Controls (MCA, train control, er etc)</t>
        </is>
      </c>
      <c r="D31" s="11" t="inlineStr">
        <is>
          <t>MCA</t>
        </is>
      </c>
      <c r="E31" s="11" t="n">
        <v>1</v>
      </c>
      <c r="G31" s="12" t="n">
        <v>491.2571070598377</v>
      </c>
      <c r="H31" s="12" t="n">
        <v>615.1478926369118</v>
      </c>
      <c r="I31" s="12" t="n">
        <v>615.1478926369118</v>
      </c>
      <c r="J31" s="13" t="n">
        <v>2534.886672428763</v>
      </c>
      <c r="K31" s="13" t="n">
        <v>3174.163126006465</v>
      </c>
      <c r="L31" s="13" t="n">
        <v>2534.886672428763</v>
      </c>
      <c r="N31" s="11" t="inlineStr">
        <is>
          <t>PAC (Brazil BRL)</t>
        </is>
      </c>
      <c r="O31" s="11" t="inlineStr">
        <is>
          <t>Brazilian factory PAC price (local Brazilian cost)</t>
        </is>
      </c>
    </row>
    <row r="32">
      <c r="A32" s="11" t="inlineStr">
        <is>
          <t>41A240644P2</t>
        </is>
      </c>
      <c r="B32" s="11" t="inlineStr">
        <is>
          <t>HORN MAGNET VALVE</t>
        </is>
      </c>
      <c r="C32" s="11" t="inlineStr">
        <is>
          <t>Controls (MCA, train control, er etc)</t>
        </is>
      </c>
      <c r="D32" s="11" t="inlineStr">
        <is>
          <t>TRAIN CONTROL</t>
        </is>
      </c>
      <c r="E32" s="11" t="n">
        <v>1</v>
      </c>
      <c r="G32" s="12" t="n">
        <v>461.7005326918485</v>
      </c>
      <c r="H32" s="12" t="n">
        <v>578.1374063258809</v>
      </c>
      <c r="I32" s="12" t="n">
        <v>578.1374063258809</v>
      </c>
      <c r="J32" s="13" t="n">
        <v>2382.374748689938</v>
      </c>
      <c r="K32" s="13" t="n">
        <v>2983.189016641546</v>
      </c>
      <c r="L32" s="13" t="n">
        <v>2382.374748689938</v>
      </c>
      <c r="N32" s="11" t="inlineStr">
        <is>
          <t>PAC (Brazil BRL)</t>
        </is>
      </c>
      <c r="O32" s="11" t="inlineStr">
        <is>
          <t>Brazilian factory PAC price (local Brazilian cost)</t>
        </is>
      </c>
    </row>
    <row r="33">
      <c r="A33" s="11" t="inlineStr">
        <is>
          <t>41A296352CMP387</t>
        </is>
      </c>
      <c r="B33" s="11" t="inlineStr">
        <is>
          <t>ETHERNET CABLE</t>
        </is>
      </c>
      <c r="C33" s="11" t="inlineStr">
        <is>
          <t>Controls (MCA, train control, er etc)</t>
        </is>
      </c>
      <c r="D33" s="11" t="inlineStr">
        <is>
          <t>MCA</t>
        </is>
      </c>
      <c r="E33" s="11" t="n">
        <v>1</v>
      </c>
      <c r="G33" s="12" t="n">
        <v>413.2256430310077</v>
      </c>
      <c r="H33" s="12" t="n">
        <v>517.4375695354468</v>
      </c>
      <c r="I33" s="12" t="n">
        <v>517.4375695354468</v>
      </c>
      <c r="J33" s="13" t="n">
        <v>2132.24431804</v>
      </c>
      <c r="K33" s="13" t="n">
        <v>2669.977858802905</v>
      </c>
      <c r="L33" s="13" t="n">
        <v>2132.24431804</v>
      </c>
      <c r="N33" s="11" t="inlineStr">
        <is>
          <t>PAC (Brazil BRL)</t>
        </is>
      </c>
      <c r="O33" s="11" t="inlineStr">
        <is>
          <t>Brazilian factory PAC price (local Brazilian cost)</t>
        </is>
      </c>
    </row>
    <row r="34">
      <c r="A34" s="11" t="inlineStr">
        <is>
          <t>41B511393P2</t>
        </is>
      </c>
      <c r="B34" s="11" t="inlineStr">
        <is>
          <t>Battery Knife Switch</t>
        </is>
      </c>
      <c r="C34" s="11" t="inlineStr">
        <is>
          <t>Power</t>
        </is>
      </c>
      <c r="D34" s="11" t="inlineStr">
        <is>
          <t>POWER</t>
        </is>
      </c>
      <c r="E34" s="11" t="n">
        <v>1</v>
      </c>
      <c r="G34" s="12" t="n">
        <v>347.8299259769659</v>
      </c>
      <c r="H34" s="12" t="n">
        <v>435.5496193049911</v>
      </c>
      <c r="I34" s="12" t="n">
        <v>435.5496193049911</v>
      </c>
      <c r="J34" s="13" t="n">
        <v>1794.802418041144</v>
      </c>
      <c r="K34" s="13" t="n">
        <v>2247.436035613754</v>
      </c>
      <c r="L34" s="13" t="n">
        <v>1794.802418041144</v>
      </c>
      <c r="N34" s="11" t="inlineStr">
        <is>
          <t>PAC (Brazil BRL)</t>
        </is>
      </c>
      <c r="O34" s="11" t="inlineStr">
        <is>
          <t>Brazilian factory PAC price (local Brazilian cost)</t>
        </is>
      </c>
    </row>
    <row r="35">
      <c r="A35" s="11" t="inlineStr">
        <is>
          <t>84A231123CSP30</t>
        </is>
      </c>
      <c r="B35" s="11" t="inlineStr">
        <is>
          <t>Axle Tac - WRE Part Number: 29266P</t>
        </is>
      </c>
      <c r="C35" s="11" t="inlineStr">
        <is>
          <t>PTC</t>
        </is>
      </c>
      <c r="D35" s="11" t="inlineStr">
        <is>
          <t>PTC</t>
        </is>
      </c>
      <c r="E35" s="11" t="n">
        <v>1</v>
      </c>
      <c r="F35" s="12" t="n">
        <v>205</v>
      </c>
      <c r="G35" s="12" t="n">
        <v>330.1220451999999</v>
      </c>
      <c r="H35" s="12" t="n">
        <v>413.3759644377661</v>
      </c>
      <c r="I35" s="12" t="n">
        <v>413.3759644377661</v>
      </c>
      <c r="J35" s="13" t="n">
        <v>1703.429753232</v>
      </c>
      <c r="K35" s="13" t="n">
        <v>2133.019976498873</v>
      </c>
      <c r="N35" s="11" t="inlineStr">
        <is>
          <t>Imported BOM (USA)</t>
        </is>
      </c>
      <c r="O35" s="11" t="inlineStr">
        <is>
          <t>Calculated with TP (17.2%) + International Freight (15%) + Import Duty (16%) + Domestic Freight (3%) | Qtd=1.0</t>
        </is>
      </c>
    </row>
    <row r="36">
      <c r="A36" s="11" t="inlineStr">
        <is>
          <t>84A201176P1</t>
        </is>
      </c>
      <c r="B36" s="11" t="inlineStr">
        <is>
          <t>Pathfinder Control Unit Connector (MU Plug)</t>
        </is>
      </c>
      <c r="C36" s="11" t="inlineStr">
        <is>
          <t>Controls (MCA, train control, er etc)</t>
        </is>
      </c>
      <c r="D36" s="11" t="inlineStr">
        <is>
          <t>TRAIN CONTROL</t>
        </is>
      </c>
      <c r="E36" s="11" t="n">
        <v>2</v>
      </c>
      <c r="G36" s="12" t="n">
        <v>573.9781667944719</v>
      </c>
      <c r="H36" s="12" t="n">
        <v>359.3652434225343</v>
      </c>
      <c r="I36" s="12" t="n">
        <v>718.7304868450686</v>
      </c>
      <c r="J36" s="13" t="n">
        <v>2961.727340659475</v>
      </c>
      <c r="K36" s="13" t="n">
        <v>3708.649312120554</v>
      </c>
      <c r="L36" s="13" t="n">
        <v>1480.863670329737</v>
      </c>
      <c r="N36" s="11" t="inlineStr">
        <is>
          <t>PAC (Brazil BRL)</t>
        </is>
      </c>
      <c r="O36" s="11" t="inlineStr">
        <is>
          <t>Brazilian factory PAC price (local Brazilian cost)</t>
        </is>
      </c>
    </row>
    <row r="37">
      <c r="A37" s="11" t="inlineStr">
        <is>
          <t>84A201850P4</t>
        </is>
      </c>
      <c r="B37" s="11" t="inlineStr">
        <is>
          <t>ENGINE CONTROL SWITCH</t>
        </is>
      </c>
      <c r="C37" s="11" t="inlineStr">
        <is>
          <t>Controls (MCA, train control, er etc)</t>
        </is>
      </c>
      <c r="D37" s="11" t="inlineStr">
        <is>
          <t>TRAIN CONTROL</t>
        </is>
      </c>
      <c r="E37" s="11" t="n">
        <v>1</v>
      </c>
      <c r="F37" s="12" t="n">
        <v>171.544</v>
      </c>
      <c r="G37" s="12" t="n">
        <v>276.2461274233601</v>
      </c>
      <c r="H37" s="12" t="n">
        <v>345.9130070415227</v>
      </c>
      <c r="I37" s="12" t="n">
        <v>345.9130070415227</v>
      </c>
      <c r="J37" s="13" t="n">
        <v>1425.430017504538</v>
      </c>
      <c r="K37" s="13" t="n">
        <v>1784.911116334257</v>
      </c>
      <c r="N37" s="11" t="inlineStr">
        <is>
          <t>Imported BOM (USA)</t>
        </is>
      </c>
      <c r="O37" s="11" t="inlineStr">
        <is>
          <t>Calculated with TP (17.2%) + International Freight (15%) + Import Duty (16%) + Domestic Freight (3%) | Qtd=1.0</t>
        </is>
      </c>
    </row>
    <row r="38">
      <c r="A38" s="11" t="inlineStr">
        <is>
          <t>RCCR-PWRCBL</t>
        </is>
      </c>
      <c r="B38" s="11" t="inlineStr">
        <is>
          <t>CABLE, PWR, 72V,RA,6.5FT (78").,RR-070,RCCR</t>
        </is>
      </c>
      <c r="C38" s="11" t="inlineStr">
        <is>
          <t>Connectivity</t>
        </is>
      </c>
      <c r="D38" s="11" t="inlineStr">
        <is>
          <t>VOICE RADIO</t>
        </is>
      </c>
      <c r="E38" s="11" t="n">
        <v>1</v>
      </c>
      <c r="F38" s="12" t="n">
        <v>159</v>
      </c>
      <c r="G38" s="12" t="n">
        <v>256.04587896</v>
      </c>
      <c r="H38" s="12" t="n">
        <v>320.6184309541698</v>
      </c>
      <c r="I38" s="12" t="n">
        <v>320.6184309541698</v>
      </c>
      <c r="J38" s="13" t="n">
        <v>1321.1967354336</v>
      </c>
      <c r="K38" s="13" t="n">
        <v>1654.391103723516</v>
      </c>
      <c r="N38" s="11" t="inlineStr">
        <is>
          <t>Imported BOM (USA)</t>
        </is>
      </c>
      <c r="O38" s="11" t="inlineStr">
        <is>
          <t>Calculated with TP (17.2%) + International Freight (15%) + Import Duty (16%) + Domestic Freight (3%) | Qtd=1.0</t>
        </is>
      </c>
    </row>
    <row r="39">
      <c r="A39" s="11" t="inlineStr">
        <is>
          <t>41B546301P4</t>
        </is>
      </c>
      <c r="B39" s="11" t="inlineStr">
        <is>
          <t>DOOR INTERLOCK SWITCH</t>
        </is>
      </c>
      <c r="C39" s="11" t="inlineStr">
        <is>
          <t>Controls (MCA, train control, er etc)</t>
        </is>
      </c>
      <c r="D39" s="11" t="inlineStr">
        <is>
          <t>TRAIN CONTROL</t>
        </is>
      </c>
      <c r="E39" s="11" t="n">
        <v>1</v>
      </c>
      <c r="G39" s="12" t="n">
        <v>248.5377345159902</v>
      </c>
      <c r="H39" s="12" t="n">
        <v>311.216797540684</v>
      </c>
      <c r="I39" s="12" t="n">
        <v>311.216797540684</v>
      </c>
      <c r="J39" s="13" t="n">
        <v>1282.454710102509</v>
      </c>
      <c r="K39" s="13" t="n">
        <v>1605.878675309929</v>
      </c>
      <c r="L39" s="13" t="n">
        <v>1282.454710102509</v>
      </c>
      <c r="N39" s="11" t="inlineStr">
        <is>
          <t>PAC (Brazil BRL)</t>
        </is>
      </c>
      <c r="O39" s="11" t="inlineStr">
        <is>
          <t>Brazilian factory PAC price (local Brazilian cost)</t>
        </is>
      </c>
    </row>
    <row r="40">
      <c r="A40" s="11" t="inlineStr">
        <is>
          <t>84A201169AKP1</t>
        </is>
      </c>
      <c r="B40" s="11" t="inlineStr">
        <is>
          <t>ENGINEERS HORN BUTTON</t>
        </is>
      </c>
      <c r="C40" s="11" t="inlineStr">
        <is>
          <t>Controls (MCA, train control, er etc)</t>
        </is>
      </c>
      <c r="D40" s="11" t="inlineStr">
        <is>
          <t>TRAIN CONTROL</t>
        </is>
      </c>
      <c r="E40" s="11" t="n">
        <v>1</v>
      </c>
      <c r="G40" s="12" t="n">
        <v>220.8566300892168</v>
      </c>
      <c r="H40" s="12" t="n">
        <v>276.5547584387888</v>
      </c>
      <c r="I40" s="12" t="n">
        <v>276.5547584387888</v>
      </c>
      <c r="J40" s="13" t="n">
        <v>1139.620211260358</v>
      </c>
      <c r="K40" s="13" t="n">
        <v>1427.02255354415</v>
      </c>
      <c r="L40" s="13" t="n">
        <v>1139.620211260358</v>
      </c>
      <c r="N40" s="11" t="inlineStr">
        <is>
          <t>PAC (Brazil BRL)</t>
        </is>
      </c>
      <c r="O40" s="11" t="inlineStr">
        <is>
          <t>Brazilian factory PAC price (local Brazilian cost)</t>
        </is>
      </c>
    </row>
    <row r="41">
      <c r="A41" s="11" t="inlineStr">
        <is>
          <t>41B549523ABP101</t>
        </is>
      </c>
      <c r="B41" s="11" t="inlineStr">
        <is>
          <t>BATTERY SAVER RESET PUSH BUTTON</t>
        </is>
      </c>
      <c r="C41" s="11" t="inlineStr">
        <is>
          <t>Controls (MCA, train control, er etc)</t>
        </is>
      </c>
      <c r="D41" s="11" t="inlineStr">
        <is>
          <t>TRAIN CONTROL</t>
        </is>
      </c>
      <c r="E41" s="11" t="n">
        <v>1</v>
      </c>
      <c r="G41" s="12" t="n">
        <v>216.5860005930232</v>
      </c>
      <c r="H41" s="12" t="n">
        <v>271.2071131893604</v>
      </c>
      <c r="I41" s="12" t="n">
        <v>271.2071131893604</v>
      </c>
      <c r="J41" s="13" t="n">
        <v>1117.58376306</v>
      </c>
      <c r="K41" s="13" t="n">
        <v>1399.4287040571</v>
      </c>
      <c r="L41" s="13" t="n">
        <v>1117.58376306</v>
      </c>
      <c r="N41" s="11" t="inlineStr">
        <is>
          <t>PAC (Brazil BRL)</t>
        </is>
      </c>
      <c r="O41" s="11" t="inlineStr">
        <is>
          <t>Brazilian factory PAC price (local Brazilian cost)</t>
        </is>
      </c>
    </row>
    <row r="42">
      <c r="A42" s="11" t="inlineStr">
        <is>
          <t>497A365P13</t>
        </is>
      </c>
      <c r="B42" s="11" t="inlineStr">
        <is>
          <t>ALARM AND SIGNAL BELL</t>
        </is>
      </c>
      <c r="C42" s="11" t="inlineStr">
        <is>
          <t>Controls (MCA, train control, er etc)</t>
        </is>
      </c>
      <c r="D42" s="11" t="inlineStr">
        <is>
          <t>TRAIN CONTROL</t>
        </is>
      </c>
      <c r="E42" s="11" t="n">
        <v>1</v>
      </c>
      <c r="G42" s="12" t="n">
        <v>189.0780872638066</v>
      </c>
      <c r="H42" s="12" t="n">
        <v>236.7619424790966</v>
      </c>
      <c r="I42" s="12" t="n">
        <v>236.7619424790966</v>
      </c>
      <c r="J42" s="13" t="n">
        <v>975.6429302812419</v>
      </c>
      <c r="K42" s="13" t="n">
        <v>1221.691623192139</v>
      </c>
      <c r="L42" s="13" t="n">
        <v>975.6429302812419</v>
      </c>
      <c r="N42" s="11" t="inlineStr">
        <is>
          <t>PAC (Brazil BRL)</t>
        </is>
      </c>
      <c r="O42" s="11" t="inlineStr">
        <is>
          <t>Brazilian factory PAC price (local Brazilian cost)</t>
        </is>
      </c>
    </row>
    <row r="43">
      <c r="A43" s="11" t="inlineStr">
        <is>
          <t>84A201850P5</t>
        </is>
      </c>
      <c r="B43" s="11" t="inlineStr">
        <is>
          <t>AC-ROTARY SWITCH</t>
        </is>
      </c>
      <c r="C43" s="11" t="inlineStr">
        <is>
          <t>SKID Assembly</t>
        </is>
      </c>
      <c r="D43" s="11" t="inlineStr">
        <is>
          <t>SKID (Skid)</t>
        </is>
      </c>
      <c r="E43" s="11" t="n">
        <v>1</v>
      </c>
      <c r="G43" s="12" t="n">
        <v>183.4402205768718</v>
      </c>
      <c r="H43" s="12" t="n">
        <v>229.7022546667566</v>
      </c>
      <c r="I43" s="12" t="n">
        <v>229.7022546667566</v>
      </c>
      <c r="J43" s="13" t="n">
        <v>946.5515381766586</v>
      </c>
      <c r="K43" s="13" t="n">
        <v>1185.263634080464</v>
      </c>
      <c r="L43" s="13" t="n">
        <v>946.5515381766586</v>
      </c>
      <c r="N43" s="11" t="inlineStr">
        <is>
          <t>PAC (Brazil BRL)</t>
        </is>
      </c>
      <c r="O43" s="11" t="inlineStr">
        <is>
          <t>Brazilian factory PAC price (local Brazilian cost)</t>
        </is>
      </c>
    </row>
    <row r="44">
      <c r="A44" s="11" t="inlineStr">
        <is>
          <t>41B549523ADP108</t>
        </is>
      </c>
      <c r="B44" s="11" t="inlineStr">
        <is>
          <t>VIGILANCE RESET SWITCH</t>
        </is>
      </c>
      <c r="C44" s="11" t="inlineStr">
        <is>
          <t>Controls (MCA, train control, er etc)</t>
        </is>
      </c>
      <c r="D44" s="11" t="inlineStr">
        <is>
          <t>TRAIN CONTROL</t>
        </is>
      </c>
      <c r="E44" s="11" t="n">
        <v>1</v>
      </c>
      <c r="G44" s="12" t="n">
        <v>155.80760902725</v>
      </c>
      <c r="H44" s="12" t="n">
        <v>195.1009379254319</v>
      </c>
      <c r="I44" s="12" t="n">
        <v>195.1009379254319</v>
      </c>
      <c r="J44" s="13" t="n">
        <v>803.9672625806097</v>
      </c>
      <c r="K44" s="13" t="n">
        <v>1006.720839695229</v>
      </c>
      <c r="L44" s="13" t="n">
        <v>803.9672625806097</v>
      </c>
      <c r="N44" s="11" t="inlineStr">
        <is>
          <t>PAC (Brazil BRL)</t>
        </is>
      </c>
      <c r="O44" s="11" t="inlineStr">
        <is>
          <t>Brazilian factory PAC price (local Brazilian cost)</t>
        </is>
      </c>
    </row>
    <row r="45" ht="45" customHeight="1">
      <c r="A45" s="11" t="inlineStr">
        <is>
          <t>41A317303ACP49</t>
        </is>
      </c>
      <c r="B45" s="11" t="inlineStr">
        <is>
          <t>AIR RESERVOIR
PRESSURE
SENSOR</t>
        </is>
      </c>
      <c r="C45" s="11" t="inlineStr">
        <is>
          <t>Controls (MCA, train control, er etc)</t>
        </is>
      </c>
      <c r="D45" s="11" t="inlineStr">
        <is>
          <t>MCA</t>
        </is>
      </c>
      <c r="E45" s="11" t="n">
        <v>1</v>
      </c>
      <c r="G45" s="12" t="n">
        <v>145.1861250861583</v>
      </c>
      <c r="H45" s="12" t="n">
        <v>181.8008077712976</v>
      </c>
      <c r="I45" s="12" t="n">
        <v>181.8008077712976</v>
      </c>
      <c r="J45" s="13" t="n">
        <v>749.1604054445767</v>
      </c>
      <c r="K45" s="13" t="n">
        <v>938.0921680998957</v>
      </c>
      <c r="L45" s="13" t="n">
        <v>749.1604054445767</v>
      </c>
      <c r="N45" s="11" t="inlineStr">
        <is>
          <t>PAC (Brazil BRL)</t>
        </is>
      </c>
      <c r="O45" s="11" t="inlineStr">
        <is>
          <t>Brazilian factory PAC price (local Brazilian cost)</t>
        </is>
      </c>
    </row>
    <row r="46">
      <c r="A46" s="11" t="inlineStr">
        <is>
          <t>84A215329P1</t>
        </is>
      </c>
      <c r="B46" s="11" t="inlineStr">
        <is>
          <t>ENGINE STOP SWITCH</t>
        </is>
      </c>
      <c r="C46" s="11" t="inlineStr">
        <is>
          <t>Controls (MCA, train control, er etc)</t>
        </is>
      </c>
      <c r="D46" s="11" t="inlineStr">
        <is>
          <t>TRAIN CONTROL</t>
        </is>
      </c>
      <c r="E46" s="11" t="n">
        <v>1</v>
      </c>
      <c r="G46" s="12" t="n">
        <v>136.2375060125606</v>
      </c>
      <c r="H46" s="12" t="n">
        <v>170.5954245085908</v>
      </c>
      <c r="I46" s="12" t="n">
        <v>170.5954245085908</v>
      </c>
      <c r="J46" s="13" t="n">
        <v>702.9855310248125</v>
      </c>
      <c r="K46" s="13" t="n">
        <v>880.2723904643283</v>
      </c>
      <c r="L46" s="13" t="n">
        <v>702.9855310248125</v>
      </c>
      <c r="N46" s="11" t="inlineStr">
        <is>
          <t>PAC (Brazil BRL)</t>
        </is>
      </c>
      <c r="O46" s="11" t="inlineStr">
        <is>
          <t>Brazilian factory PAC price (local Brazilian cost)</t>
        </is>
      </c>
    </row>
    <row r="47">
      <c r="A47" s="11" t="inlineStr">
        <is>
          <t>41A296328ASP3</t>
        </is>
      </c>
      <c r="B47" s="11" t="inlineStr">
        <is>
          <t>BATTERY TEMPERATURE SENSOR</t>
        </is>
      </c>
      <c r="C47" s="11" t="inlineStr">
        <is>
          <t>Controls (MCA, train control, er etc)</t>
        </is>
      </c>
      <c r="D47" s="11" t="inlineStr">
        <is>
          <t>Power</t>
        </is>
      </c>
      <c r="E47" s="11" t="n">
        <v>1</v>
      </c>
      <c r="G47" s="12" t="n">
        <v>134.7055791107647</v>
      </c>
      <c r="H47" s="12" t="n">
        <v>168.6771589165598</v>
      </c>
      <c r="I47" s="12" t="n">
        <v>168.6771589165598</v>
      </c>
      <c r="J47" s="13" t="n">
        <v>695.0807882115457</v>
      </c>
      <c r="K47" s="13" t="n">
        <v>870.3741400094488</v>
      </c>
      <c r="L47" s="13" t="n">
        <v>695.0807882115457</v>
      </c>
      <c r="N47" s="11" t="inlineStr">
        <is>
          <t>PAC (Brazil BRL)</t>
        </is>
      </c>
      <c r="O47" s="11" t="inlineStr">
        <is>
          <t>Brazilian factory PAC price (local Brazilian cost)</t>
        </is>
      </c>
    </row>
    <row r="48">
      <c r="A48" s="11" t="inlineStr">
        <is>
          <t>41A321053G1</t>
        </is>
      </c>
      <c r="B48" s="11" t="inlineStr">
        <is>
          <t>Power Resistor</t>
        </is>
      </c>
      <c r="C48" s="11" t="inlineStr">
        <is>
          <t>Power</t>
        </is>
      </c>
      <c r="D48" s="11" t="inlineStr">
        <is>
          <t>Resistor</t>
        </is>
      </c>
      <c r="E48" s="11" t="n">
        <v>1</v>
      </c>
      <c r="G48" s="12" t="n">
        <v>132.2586718657517</v>
      </c>
      <c r="H48" s="12" t="n">
        <v>165.6131628672072</v>
      </c>
      <c r="I48" s="12" t="n">
        <v>165.6131628672072</v>
      </c>
      <c r="J48" s="13" t="n">
        <v>682.4547468272788</v>
      </c>
      <c r="K48" s="13" t="n">
        <v>854.5639203947893</v>
      </c>
      <c r="L48" s="13" t="n">
        <v>682.4547468272788</v>
      </c>
      <c r="N48" s="11" t="inlineStr">
        <is>
          <t>PAC (Brazil BRL)</t>
        </is>
      </c>
      <c r="O48" s="11" t="inlineStr">
        <is>
          <t>Brazilian factory PAC price (local Brazilian cost)</t>
        </is>
      </c>
    </row>
    <row r="49">
      <c r="A49" s="11" t="inlineStr">
        <is>
          <t>17 pin MS3106-20-29F</t>
        </is>
      </c>
      <c r="B49" s="11" t="inlineStr">
        <is>
          <t>Head of Train Device - Padom - J2 Connector</t>
        </is>
      </c>
      <c r="C49" s="11" t="inlineStr">
        <is>
          <t>Controls (MCA, train control, er etc)</t>
        </is>
      </c>
      <c r="D49" s="11" t="inlineStr">
        <is>
          <t>Wiring</t>
        </is>
      </c>
      <c r="E49" s="11" t="n">
        <v>1</v>
      </c>
      <c r="F49" s="12" t="n">
        <v>79.83</v>
      </c>
      <c r="G49" s="12" t="n">
        <v>128.5543554552</v>
      </c>
      <c r="H49" s="12" t="n">
        <v>160.9746499564238</v>
      </c>
      <c r="I49" s="12" t="n">
        <v>160.9746499564238</v>
      </c>
      <c r="J49" s="13" t="n">
        <v>663.3404741488321</v>
      </c>
      <c r="K49" s="13" t="n">
        <v>830.6291937751467</v>
      </c>
      <c r="N49" s="11" t="inlineStr">
        <is>
          <t>Imported BOM (USA)</t>
        </is>
      </c>
      <c r="O49" s="11" t="inlineStr">
        <is>
          <t>Calculated with TP (17.2%) + International Freight (15%) + Import Duty (16%) + Domestic Freight (3%) | Qtd=1.0</t>
        </is>
      </c>
    </row>
    <row r="50">
      <c r="A50" s="11" t="inlineStr">
        <is>
          <t>41A216641P158</t>
        </is>
      </c>
      <c r="B50" s="11" t="inlineStr">
        <is>
          <t>SNIO CONNECTOR 3</t>
        </is>
      </c>
      <c r="C50" s="11" t="inlineStr">
        <is>
          <t>Controls (MCA, train control, er etc)</t>
        </is>
      </c>
      <c r="D50" s="11" t="inlineStr">
        <is>
          <t>Wiring</t>
        </is>
      </c>
      <c r="E50" s="11" t="n">
        <v>2</v>
      </c>
      <c r="G50" s="12" t="n">
        <v>251.781884087561</v>
      </c>
      <c r="H50" s="12" t="n">
        <v>157.6395467615584</v>
      </c>
      <c r="I50" s="12" t="n">
        <v>315.2790935231167</v>
      </c>
      <c r="J50" s="13" t="n">
        <v>1299.194521891815</v>
      </c>
      <c r="K50" s="13" t="n">
        <v>1626.840122579282</v>
      </c>
      <c r="L50" s="13" t="n">
        <v>649.5972609459074</v>
      </c>
      <c r="N50" s="11" t="inlineStr">
        <is>
          <t>PAC (Brazil BRL)</t>
        </is>
      </c>
      <c r="O50" s="11" t="inlineStr">
        <is>
          <t>Brazilian factory PAC price (local Brazilian cost)</t>
        </is>
      </c>
    </row>
    <row r="51">
      <c r="A51" s="11" t="inlineStr">
        <is>
          <t>41A216641P157</t>
        </is>
      </c>
      <c r="B51" s="11" t="inlineStr">
        <is>
          <t>SNIO CONNECTOR 2</t>
        </is>
      </c>
      <c r="C51" s="11" t="inlineStr">
        <is>
          <t>Controls (MCA, train control, er etc)</t>
        </is>
      </c>
      <c r="D51" s="11" t="inlineStr">
        <is>
          <t>Wiring</t>
        </is>
      </c>
      <c r="E51" s="11" t="n">
        <v>1</v>
      </c>
      <c r="G51" s="12" t="n">
        <v>121.2615142963924</v>
      </c>
      <c r="H51" s="12" t="n">
        <v>151.8426174510299</v>
      </c>
      <c r="I51" s="12" t="n">
        <v>151.8426174510299</v>
      </c>
      <c r="J51" s="13" t="n">
        <v>625.709413769385</v>
      </c>
      <c r="K51" s="13" t="n">
        <v>783.5079060473141</v>
      </c>
      <c r="L51" s="13" t="n">
        <v>625.709413769385</v>
      </c>
      <c r="N51" s="11" t="inlineStr">
        <is>
          <t>PAC (Brazil BRL)</t>
        </is>
      </c>
      <c r="O51" s="11" t="inlineStr">
        <is>
          <t>Brazilian factory PAC price (local Brazilian cost)</t>
        </is>
      </c>
    </row>
    <row r="52" ht="30" customHeight="1">
      <c r="A52" s="11" t="inlineStr">
        <is>
          <t>5088-7000-P4611-0000000-ND‎</t>
        </is>
      </c>
      <c r="B52" s="11" t="inlineStr">
        <is>
          <t>POE Power Connector on SMM2 (M12 FEMALE 0 L-CODED FIELD-WIREA)</t>
        </is>
      </c>
      <c r="C52" s="11" t="inlineStr">
        <is>
          <t>Controls (MCA, train control, er etc)</t>
        </is>
      </c>
      <c r="D52" s="11" t="inlineStr">
        <is>
          <t>TRAIN CONTROL</t>
        </is>
      </c>
      <c r="E52" s="11" t="n">
        <v>1</v>
      </c>
      <c r="F52" s="12" t="n">
        <v>72.41</v>
      </c>
      <c r="G52" s="12" t="n">
        <v>116.6055477704</v>
      </c>
      <c r="H52" s="12" t="n">
        <v>146.0124565118958</v>
      </c>
      <c r="I52" s="12" t="n">
        <v>146.0124565118958</v>
      </c>
      <c r="J52" s="13" t="n">
        <v>601.6846264952641</v>
      </c>
      <c r="K52" s="13" t="n">
        <v>753.4242756013825</v>
      </c>
      <c r="N52" s="11" t="inlineStr">
        <is>
          <t>Imported BOM (USA)</t>
        </is>
      </c>
      <c r="O52" s="11" t="inlineStr">
        <is>
          <t>Calculated with TP (17.2%) + International Freight (15%) + Import Duty (16%) + Domestic Freight (3%) | Qtd=1.0</t>
        </is>
      </c>
    </row>
    <row r="53">
      <c r="A53" s="11" t="inlineStr">
        <is>
          <t>41A296352PTP67</t>
        </is>
      </c>
      <c r="B53" s="11" t="inlineStr">
        <is>
          <t>CABLE CSX 12V P WR CBL</t>
        </is>
      </c>
      <c r="C53" s="11" t="inlineStr">
        <is>
          <t>Controls (MCA, train control, er etc)</t>
        </is>
      </c>
      <c r="D53" s="11" t="inlineStr">
        <is>
          <t>MCA</t>
        </is>
      </c>
      <c r="E53" s="11" t="n">
        <v>1</v>
      </c>
      <c r="F53" s="12" t="n">
        <v>71.94</v>
      </c>
      <c r="G53" s="12" t="n">
        <v>115.8486825936</v>
      </c>
      <c r="H53" s="12" t="n">
        <v>145.0647164958677</v>
      </c>
      <c r="I53" s="12" t="n">
        <v>145.0647164958677</v>
      </c>
      <c r="J53" s="13" t="n">
        <v>597.779202182976</v>
      </c>
      <c r="K53" s="13" t="n">
        <v>748.5339371186776</v>
      </c>
      <c r="N53" s="11" t="inlineStr">
        <is>
          <t>Imported BOM (USA)</t>
        </is>
      </c>
      <c r="O53" s="11" t="inlineStr">
        <is>
          <t>Calculated with TP (17.2%) + International Freight (15%) + Import Duty (16%) + Domestic Freight (3%) | Qtd=1.0</t>
        </is>
      </c>
    </row>
    <row r="54">
      <c r="A54" s="11" t="inlineStr">
        <is>
          <t>41A296352PTP69</t>
        </is>
      </c>
      <c r="B54" s="11" t="inlineStr">
        <is>
          <t>CABLE CSX 74V P WR CBL</t>
        </is>
      </c>
      <c r="C54" s="11" t="inlineStr">
        <is>
          <t>Controls (MCA, train control, er etc)</t>
        </is>
      </c>
      <c r="D54" s="11" t="inlineStr">
        <is>
          <t>MCA</t>
        </is>
      </c>
      <c r="E54" s="11" t="n">
        <v>1</v>
      </c>
      <c r="F54" s="12" t="n">
        <v>71.94</v>
      </c>
      <c r="G54" s="12" t="n">
        <v>115.8486825936</v>
      </c>
      <c r="H54" s="12" t="n">
        <v>145.0647164958677</v>
      </c>
      <c r="I54" s="12" t="n">
        <v>145.0647164958677</v>
      </c>
      <c r="J54" s="13" t="n">
        <v>597.779202182976</v>
      </c>
      <c r="K54" s="13" t="n">
        <v>748.5339371186776</v>
      </c>
      <c r="N54" s="11" t="inlineStr">
        <is>
          <t>Imported BOM (USA)</t>
        </is>
      </c>
      <c r="O54" s="11" t="inlineStr">
        <is>
          <t>Calculated with TP (17.2%) + International Freight (15%) + Import Duty (16%) + Domestic Freight (3%) | Qtd=1.0</t>
        </is>
      </c>
    </row>
    <row r="55" ht="45" customHeight="1">
      <c r="A55" s="11" t="inlineStr">
        <is>
          <t>41B549523ADP1</t>
        </is>
      </c>
      <c r="B55" s="11" t="inlineStr">
        <is>
          <t>Black push Button</t>
        </is>
      </c>
      <c r="C55" s="11" t="inlineStr">
        <is>
          <t>SKID Assembly</t>
        </is>
      </c>
      <c r="D55" s="11" t="inlineStr">
        <is>
          <t>Use in place of al levers and other push buttons</t>
        </is>
      </c>
      <c r="E55" s="11" t="n">
        <v>1</v>
      </c>
      <c r="G55" s="12" t="n">
        <v>109.6059560245728</v>
      </c>
      <c r="H55" s="12" t="n">
        <v>137.2476283803817</v>
      </c>
      <c r="I55" s="12" t="n">
        <v>137.2476283803817</v>
      </c>
      <c r="J55" s="13" t="n">
        <v>565.5667330867959</v>
      </c>
      <c r="K55" s="13" t="n">
        <v>708.1977624427698</v>
      </c>
      <c r="L55" s="13" t="n">
        <v>565.5667330867959</v>
      </c>
      <c r="N55" s="11" t="inlineStr">
        <is>
          <t>PAC (Brazil BRL)</t>
        </is>
      </c>
      <c r="O55" s="11" t="inlineStr">
        <is>
          <t>Brazilian factory PAC price (local Brazilian cost)</t>
        </is>
      </c>
    </row>
    <row r="56">
      <c r="A56" s="11" t="inlineStr">
        <is>
          <t>41B549523ADP2</t>
        </is>
      </c>
      <c r="B56" s="11" t="inlineStr">
        <is>
          <t>SWITCH PUSH BUTTON</t>
        </is>
      </c>
      <c r="C56" s="11" t="inlineStr">
        <is>
          <t>SKID Assembly</t>
        </is>
      </c>
      <c r="D56" s="11" t="inlineStr">
        <is>
          <t>SKID (Skid)</t>
        </is>
      </c>
      <c r="E56" s="11" t="n">
        <v>1</v>
      </c>
      <c r="G56" s="12" t="n">
        <v>105.1765416019148</v>
      </c>
      <c r="H56" s="12" t="n">
        <v>131.701154021932</v>
      </c>
      <c r="I56" s="12" t="n">
        <v>131.701154021932</v>
      </c>
      <c r="J56" s="13" t="n">
        <v>542.7109546658806</v>
      </c>
      <c r="K56" s="13" t="n">
        <v>679.5779547531689</v>
      </c>
      <c r="L56" s="13" t="n">
        <v>542.7109546658806</v>
      </c>
      <c r="N56" s="11" t="inlineStr">
        <is>
          <t>PAC (Brazil BRL)</t>
        </is>
      </c>
      <c r="O56" s="11" t="inlineStr">
        <is>
          <t>Brazilian factory PAC price (local Brazilian cost)</t>
        </is>
      </c>
    </row>
    <row r="57">
      <c r="A57" s="11" t="inlineStr">
        <is>
          <t>41A296328APP5</t>
        </is>
      </c>
      <c r="B57" s="11" t="inlineStr">
        <is>
          <t>BATTERY CURRENT SENSOR</t>
        </is>
      </c>
      <c r="C57" s="11" t="inlineStr">
        <is>
          <t>Controls (MCA, train control, er etc)</t>
        </is>
      </c>
      <c r="D57" s="11" t="inlineStr">
        <is>
          <t>MCA</t>
        </is>
      </c>
      <c r="E57" s="11" t="n">
        <v>1</v>
      </c>
      <c r="G57" s="12" t="n">
        <v>102.8519707569962</v>
      </c>
      <c r="H57" s="12" t="n">
        <v>128.7903465527124</v>
      </c>
      <c r="I57" s="12" t="n">
        <v>128.7903465527124</v>
      </c>
      <c r="J57" s="13" t="n">
        <v>530.7161691061002</v>
      </c>
      <c r="K57" s="13" t="n">
        <v>664.5581882119963</v>
      </c>
      <c r="L57" s="13" t="n">
        <v>530.7161691061002</v>
      </c>
      <c r="N57" s="11" t="inlineStr">
        <is>
          <t>PAC (Brazil BRL)</t>
        </is>
      </c>
      <c r="O57" s="11" t="inlineStr">
        <is>
          <t>Brazilian factory PAC price (local Brazilian cost)</t>
        </is>
      </c>
    </row>
    <row r="58">
      <c r="A58" s="11" t="inlineStr">
        <is>
          <t>16246P</t>
        </is>
      </c>
      <c r="B58" s="11" t="inlineStr">
        <is>
          <t>Flexi-Axle - WRE Part Number: 16246P</t>
        </is>
      </c>
      <c r="C58" s="11" t="inlineStr">
        <is>
          <t>PTC</t>
        </is>
      </c>
      <c r="D58" s="11" t="inlineStr">
        <is>
          <t>PTC</t>
        </is>
      </c>
      <c r="E58" s="11" t="n">
        <v>1</v>
      </c>
      <c r="F58" s="12" t="n">
        <v>59.75</v>
      </c>
      <c r="G58" s="12" t="n">
        <v>96.21849854</v>
      </c>
      <c r="H58" s="12" t="n">
        <v>120.4839701227148</v>
      </c>
      <c r="I58" s="12" t="n">
        <v>120.4839701227148</v>
      </c>
      <c r="J58" s="13" t="n">
        <v>496.4874524664</v>
      </c>
      <c r="K58" s="13" t="n">
        <v>621.6972858332082</v>
      </c>
      <c r="N58" s="11" t="inlineStr">
        <is>
          <t>Imported BOM (USA)</t>
        </is>
      </c>
      <c r="O58" s="11" t="inlineStr">
        <is>
          <t>Calculated with TP (17.2%) + International Freight (15%) + Import Duty (16%) + Domestic Freight (3%) | Qtd=1.0</t>
        </is>
      </c>
    </row>
    <row r="59" ht="30" customHeight="1">
      <c r="A59" s="11" t="inlineStr">
        <is>
          <t>41A216641P140</t>
        </is>
      </c>
      <c r="B59" s="11" t="inlineStr">
        <is>
          <t>Part NumberEUMATIC OPERATING UNIT
CONNECTOR - 5</t>
        </is>
      </c>
      <c r="C59" s="11" t="inlineStr">
        <is>
          <t>Air</t>
        </is>
      </c>
      <c r="D59" s="11" t="inlineStr">
        <is>
          <t>Fastbrake</t>
        </is>
      </c>
      <c r="E59" s="11" t="n">
        <v>1</v>
      </c>
      <c r="G59" s="12" t="n">
        <v>93.10614042248062</v>
      </c>
      <c r="H59" s="12" t="n">
        <v>116.5867022570506</v>
      </c>
      <c r="I59" s="12" t="n">
        <v>116.5867022570506</v>
      </c>
      <c r="J59" s="13" t="n">
        <v>480.42768458</v>
      </c>
      <c r="K59" s="13" t="n">
        <v>601.5873836463812</v>
      </c>
      <c r="L59" s="13" t="n">
        <v>480.42768458</v>
      </c>
      <c r="N59" s="11" t="inlineStr">
        <is>
          <t>PAC (Brazil BRL)</t>
        </is>
      </c>
      <c r="O59" s="11" t="inlineStr">
        <is>
          <t>Brazilian factory PAC price (local Brazilian cost)</t>
        </is>
      </c>
    </row>
    <row r="60">
      <c r="A60" s="11" t="inlineStr">
        <is>
          <t>41A216641P53</t>
        </is>
      </c>
      <c r="B60" s="11" t="inlineStr">
        <is>
          <t>SNIO CONNECTOR 1</t>
        </is>
      </c>
      <c r="C60" s="11" t="inlineStr">
        <is>
          <t>Controls (MCA, train control, er etc)</t>
        </is>
      </c>
      <c r="D60" s="11" t="inlineStr">
        <is>
          <t>Wiring</t>
        </is>
      </c>
      <c r="E60" s="11" t="n">
        <v>1</v>
      </c>
      <c r="G60" s="12" t="n">
        <v>91.64981107503634</v>
      </c>
      <c r="H60" s="12" t="n">
        <v>114.7630992675136</v>
      </c>
      <c r="I60" s="12" t="n">
        <v>114.7630992675136</v>
      </c>
      <c r="J60" s="13" t="n">
        <v>472.9130251471875</v>
      </c>
      <c r="K60" s="13" t="n">
        <v>592.1775922203701</v>
      </c>
      <c r="L60" s="13" t="n">
        <v>472.9130251471875</v>
      </c>
      <c r="N60" s="11" t="inlineStr">
        <is>
          <t>PAC (Brazil BRL)</t>
        </is>
      </c>
      <c r="O60" s="11" t="inlineStr">
        <is>
          <t>Brazilian factory PAC price (local Brazilian cost)</t>
        </is>
      </c>
    </row>
    <row r="61" ht="30" customHeight="1">
      <c r="A61" s="11" t="inlineStr">
        <is>
          <t>41A216641P141</t>
        </is>
      </c>
      <c r="B61" s="11" t="inlineStr">
        <is>
          <t>Part NumberEUMATIC OPERATING UNIT
CONNECTOR - 7</t>
        </is>
      </c>
      <c r="C61" s="11" t="inlineStr">
        <is>
          <t>Air</t>
        </is>
      </c>
      <c r="D61" s="11" t="inlineStr">
        <is>
          <t>Fastbrake</t>
        </is>
      </c>
      <c r="E61" s="11" t="n">
        <v>1</v>
      </c>
      <c r="G61" s="12" t="n">
        <v>88.37198834496124</v>
      </c>
      <c r="H61" s="12" t="n">
        <v>110.6586380477852</v>
      </c>
      <c r="I61" s="12" t="n">
        <v>110.6586380477852</v>
      </c>
      <c r="J61" s="13" t="n">
        <v>455.99945986</v>
      </c>
      <c r="K61" s="13" t="n">
        <v>570.9985723265715</v>
      </c>
      <c r="L61" s="13" t="n">
        <v>455.99945986</v>
      </c>
      <c r="N61" s="11" t="inlineStr">
        <is>
          <t>PAC (Brazil BRL)</t>
        </is>
      </c>
      <c r="O61" s="11" t="inlineStr">
        <is>
          <t>Brazilian factory PAC price (local Brazilian cost)</t>
        </is>
      </c>
    </row>
    <row r="62">
      <c r="A62" s="11" t="inlineStr">
        <is>
          <t>41A212414P73</t>
        </is>
      </c>
      <c r="B62" s="11" t="inlineStr">
        <is>
          <t>BATT CHARGER &amp; COMP CIRCUIT BREAKER (2P, 20A / 50A)</t>
        </is>
      </c>
      <c r="C62" s="11" t="inlineStr">
        <is>
          <t>Controls (MCA, train control, er etc)</t>
        </is>
      </c>
      <c r="D62" s="11" t="inlineStr">
        <is>
          <t>Circuit Breaker</t>
        </is>
      </c>
      <c r="E62" s="11" t="n">
        <v>1</v>
      </c>
      <c r="G62" s="12" t="n">
        <v>85.98616356917438</v>
      </c>
      <c r="H62" s="12" t="n">
        <v>107.6711289371079</v>
      </c>
      <c r="I62" s="12" t="n">
        <v>107.6711289371079</v>
      </c>
      <c r="J62" s="13" t="n">
        <v>443.6886040169398</v>
      </c>
      <c r="K62" s="13" t="n">
        <v>555.5830253154769</v>
      </c>
      <c r="L62" s="13" t="n">
        <v>443.6886040169398</v>
      </c>
      <c r="N62" s="11" t="inlineStr">
        <is>
          <t>PAC (Brazil BRL)</t>
        </is>
      </c>
      <c r="O62" s="11" t="inlineStr">
        <is>
          <t>Brazilian factory PAC price (local Brazilian cost)</t>
        </is>
      </c>
    </row>
    <row r="63" ht="30" customHeight="1">
      <c r="A63" s="11" t="inlineStr">
        <is>
          <t>41A212414P76</t>
        </is>
      </c>
      <c r="B63" s="11" t="inlineStr">
        <is>
          <t>FUEL PUMP CIRCUIT BREAKER (4P,
25A / 45A)</t>
        </is>
      </c>
      <c r="C63" s="11" t="inlineStr">
        <is>
          <t>Controls (MCA, train control, er etc)</t>
        </is>
      </c>
      <c r="D63" s="11" t="inlineStr">
        <is>
          <t>Circuit Breaker</t>
        </is>
      </c>
      <c r="E63" s="11" t="n">
        <v>1</v>
      </c>
      <c r="G63" s="12" t="n">
        <v>82.77344995319882</v>
      </c>
      <c r="H63" s="12" t="n">
        <v>103.6481967858738</v>
      </c>
      <c r="I63" s="12" t="n">
        <v>103.6481967858738</v>
      </c>
      <c r="J63" s="13" t="n">
        <v>427.1110017585059</v>
      </c>
      <c r="K63" s="13" t="n">
        <v>534.8246954151087</v>
      </c>
      <c r="L63" s="13" t="n">
        <v>427.1110017585059</v>
      </c>
      <c r="N63" s="11" t="inlineStr">
        <is>
          <t>PAC (Brazil BRL)</t>
        </is>
      </c>
      <c r="O63" s="11" t="inlineStr">
        <is>
          <t>Brazilian factory PAC price (local Brazilian cost)</t>
        </is>
      </c>
    </row>
    <row r="64">
      <c r="A64" s="11" t="inlineStr">
        <is>
          <t>41A296326DDP52</t>
        </is>
      </c>
      <c r="B64" s="11" t="inlineStr">
        <is>
          <t>EMU CONNECTOR</t>
        </is>
      </c>
      <c r="C64" s="11" t="inlineStr">
        <is>
          <t>Controls (MCA, train control, er etc)</t>
        </is>
      </c>
      <c r="D64" s="11" t="inlineStr">
        <is>
          <t>Wiring</t>
        </is>
      </c>
      <c r="E64" s="11" t="n">
        <v>1</v>
      </c>
      <c r="G64" s="12" t="n">
        <v>79.83620038759689</v>
      </c>
      <c r="H64" s="12" t="n">
        <v>99.97019833157638</v>
      </c>
      <c r="I64" s="12" t="n">
        <v>99.97019833157638</v>
      </c>
      <c r="J64" s="13" t="n">
        <v>411.954794</v>
      </c>
      <c r="K64" s="13" t="n">
        <v>515.8462233909341</v>
      </c>
      <c r="L64" s="13" t="n">
        <v>411.954794</v>
      </c>
      <c r="N64" s="11" t="inlineStr">
        <is>
          <t>PAC (Brazil BRL)</t>
        </is>
      </c>
      <c r="O64" s="11" t="inlineStr">
        <is>
          <t>Brazilian factory PAC price (local Brazilian cost)</t>
        </is>
      </c>
    </row>
    <row r="65">
      <c r="A65" s="11" t="inlineStr">
        <is>
          <t>84B523158P1</t>
        </is>
      </c>
      <c r="B65" s="11" t="inlineStr">
        <is>
          <t>RESERVOIR DRAIN VALVE HEATER # 1</t>
        </is>
      </c>
      <c r="C65" s="11" t="inlineStr">
        <is>
          <t>Controls (MCA, train control, er etc)</t>
        </is>
      </c>
      <c r="D65" s="11" t="inlineStr">
        <is>
          <t>TRAIN CONTROL</t>
        </is>
      </c>
      <c r="E65" s="11" t="n">
        <v>1</v>
      </c>
      <c r="G65" s="12" t="n">
        <v>77.09433757891898</v>
      </c>
      <c r="H65" s="12" t="n">
        <v>96.5368614812409</v>
      </c>
      <c r="I65" s="12" t="n">
        <v>96.5368614812409</v>
      </c>
      <c r="J65" s="13" t="n">
        <v>397.8067819072219</v>
      </c>
      <c r="K65" s="13" t="n">
        <v>498.1302052432031</v>
      </c>
      <c r="L65" s="13" t="n">
        <v>397.8067819072219</v>
      </c>
      <c r="N65" s="11" t="inlineStr">
        <is>
          <t>PAC (Brazil BRL)</t>
        </is>
      </c>
      <c r="O65" s="11" t="inlineStr">
        <is>
          <t>Brazilian factory PAC price (local Brazilian cost)</t>
        </is>
      </c>
    </row>
    <row r="66" ht="30" customHeight="1">
      <c r="A66" s="11" t="inlineStr">
        <is>
          <t>41A216641P142</t>
        </is>
      </c>
      <c r="B66" s="11" t="inlineStr">
        <is>
          <t>Part NumberEUMATIC OPERATING UNIT
CONNECTOR - 8</t>
        </is>
      </c>
      <c r="C66" s="11" t="inlineStr">
        <is>
          <t>Air</t>
        </is>
      </c>
      <c r="D66" s="11" t="inlineStr">
        <is>
          <t>Fastbrake</t>
        </is>
      </c>
      <c r="E66" s="11" t="n">
        <v>1</v>
      </c>
      <c r="G66" s="12" t="n">
        <v>74.91210540310077</v>
      </c>
      <c r="H66" s="12" t="n">
        <v>93.80428926008111</v>
      </c>
      <c r="I66" s="12" t="n">
        <v>93.80428926008111</v>
      </c>
      <c r="J66" s="13" t="n">
        <v>386.54646388</v>
      </c>
      <c r="K66" s="13" t="n">
        <v>484.0301325820185</v>
      </c>
      <c r="L66" s="13" t="n">
        <v>386.54646388</v>
      </c>
      <c r="N66" s="11" t="inlineStr">
        <is>
          <t>PAC (Brazil BRL)</t>
        </is>
      </c>
      <c r="O66" s="11" t="inlineStr">
        <is>
          <t>Brazilian factory PAC price (local Brazilian cost)</t>
        </is>
      </c>
    </row>
    <row r="67" ht="30" customHeight="1">
      <c r="A67" s="11" t="inlineStr">
        <is>
          <t>41A216641ABP153</t>
        </is>
      </c>
      <c r="B67" s="11" t="inlineStr">
        <is>
          <t>HELPER'S RADIO SPEAKER 
CONNECTOR</t>
        </is>
      </c>
      <c r="C67" s="11" t="inlineStr">
        <is>
          <t>Controls (MCA, train control, er etc)</t>
        </is>
      </c>
      <c r="D67" s="11" t="inlineStr">
        <is>
          <t>Wiring</t>
        </is>
      </c>
      <c r="E67" s="11" t="n">
        <v>1</v>
      </c>
      <c r="F67" s="12" t="n">
        <v>45.7356</v>
      </c>
      <c r="G67" s="12" t="n">
        <v>73.65038931926399</v>
      </c>
      <c r="H67" s="12" t="n">
        <v>92.22437931287753</v>
      </c>
      <c r="I67" s="12" t="n">
        <v>92.22437931287753</v>
      </c>
      <c r="J67" s="13" t="n">
        <v>380.0360088874022</v>
      </c>
      <c r="K67" s="13" t="n">
        <v>475.8777972544481</v>
      </c>
      <c r="N67" s="11" t="inlineStr">
        <is>
          <t>Imported BOM (USA)</t>
        </is>
      </c>
      <c r="O67" s="11" t="inlineStr">
        <is>
          <t>Calculated with TP (17.2%) + International Freight (15%) + Import Duty (16%) + Domestic Freight (3%) | Qtd=1.0</t>
        </is>
      </c>
    </row>
    <row r="68">
      <c r="A68" s="11" t="inlineStr">
        <is>
          <t>17LV66BD52</t>
        </is>
      </c>
      <c r="B68" s="11" t="inlineStr">
        <is>
          <t>CONSIST MANAGER SYSTEM RELAY</t>
        </is>
      </c>
      <c r="C68" s="11" t="inlineStr">
        <is>
          <t>Controls (MCA, train control, er etc)</t>
        </is>
      </c>
      <c r="D68" s="11" t="inlineStr">
        <is>
          <t>TRAIN CONTROL</t>
        </is>
      </c>
      <c r="E68" s="11" t="n">
        <v>1</v>
      </c>
      <c r="G68" s="12" t="n">
        <v>73.00923935467161</v>
      </c>
      <c r="H68" s="12" t="n">
        <v>91.42153688288455</v>
      </c>
      <c r="I68" s="12" t="n">
        <v>91.42153688288455</v>
      </c>
      <c r="J68" s="13" t="n">
        <v>376.7276750701055</v>
      </c>
      <c r="K68" s="13" t="n">
        <v>471.7351303156843</v>
      </c>
      <c r="L68" s="13" t="n">
        <v>376.7276750701055</v>
      </c>
      <c r="N68" s="11" t="inlineStr">
        <is>
          <t>PAC (Brazil BRL)</t>
        </is>
      </c>
      <c r="O68" s="11" t="inlineStr">
        <is>
          <t>Brazilian factory PAC price (local Brazilian cost)</t>
        </is>
      </c>
    </row>
    <row r="69">
      <c r="A69" s="11" t="inlineStr">
        <is>
          <t>17LV66J10</t>
        </is>
      </c>
      <c r="B69" s="11" t="inlineStr">
        <is>
          <t>RELAYS</t>
        </is>
      </c>
      <c r="C69" s="11" t="inlineStr">
        <is>
          <t>Controls (MCA, train control, er etc)</t>
        </is>
      </c>
      <c r="D69" s="11" t="inlineStr">
        <is>
          <t>TRAIN CONTROL</t>
        </is>
      </c>
      <c r="E69" s="11" t="n">
        <v>1</v>
      </c>
      <c r="G69" s="12" t="n">
        <v>69.55442932357491</v>
      </c>
      <c r="H69" s="12" t="n">
        <v>87.09545369844091</v>
      </c>
      <c r="I69" s="12" t="n">
        <v>87.09545369844091</v>
      </c>
      <c r="J69" s="13" t="n">
        <v>358.9008553096465</v>
      </c>
      <c r="K69" s="13" t="n">
        <v>449.4125410839551</v>
      </c>
      <c r="L69" s="13" t="n">
        <v>358.9008553096465</v>
      </c>
      <c r="N69" s="11" t="inlineStr">
        <is>
          <t>PAC (Brazil BRL)</t>
        </is>
      </c>
      <c r="O69" s="11" t="inlineStr">
        <is>
          <t>Brazilian factory PAC price (local Brazilian cost)</t>
        </is>
      </c>
    </row>
    <row r="70" ht="30" customHeight="1">
      <c r="A70" s="11" t="inlineStr">
        <is>
          <t>41A216641ABP45</t>
        </is>
      </c>
      <c r="B70" s="11" t="inlineStr">
        <is>
          <t>DUAL PROCESSOR MODULE 
CONNECTOR</t>
        </is>
      </c>
      <c r="C70" s="11" t="inlineStr">
        <is>
          <t>Controls (MCA, train control, er etc)</t>
        </is>
      </c>
      <c r="D70" s="11" t="inlineStr">
        <is>
          <t>Wiring</t>
        </is>
      </c>
      <c r="E70" s="11" t="n">
        <v>2</v>
      </c>
      <c r="G70" s="12" t="n">
        <v>134.4854504180379</v>
      </c>
      <c r="H70" s="12" t="n">
        <v>84.20075783748931</v>
      </c>
      <c r="I70" s="12" t="n">
        <v>168.4015156749786</v>
      </c>
      <c r="J70" s="13" t="n">
        <v>693.9449241570757</v>
      </c>
      <c r="K70" s="13" t="n">
        <v>868.9518208828897</v>
      </c>
      <c r="L70" s="13" t="n">
        <v>346.9724620785378</v>
      </c>
      <c r="N70" s="11" t="inlineStr">
        <is>
          <t>PAC (Brazil BRL)</t>
        </is>
      </c>
      <c r="O70" s="11" t="inlineStr">
        <is>
          <t>Brazilian factory PAC price (local Brazilian cost)</t>
        </is>
      </c>
    </row>
    <row r="71">
      <c r="A71" s="11" t="inlineStr">
        <is>
          <t>41A296326DDP78</t>
        </is>
      </c>
      <c r="B71" s="11" t="inlineStr">
        <is>
          <t>GEW LAYER 3 ETH ERNET SWITCH POWER PLUG</t>
        </is>
      </c>
      <c r="C71" s="11" t="inlineStr">
        <is>
          <t>Controls (MCA, train control, er etc)</t>
        </is>
      </c>
      <c r="D71" s="11" t="inlineStr">
        <is>
          <t>MCA</t>
        </is>
      </c>
      <c r="E71" s="11" t="n">
        <v>1</v>
      </c>
      <c r="G71" s="12" t="n">
        <v>64.94082552269865</v>
      </c>
      <c r="H71" s="12" t="n">
        <v>81.31833899661738</v>
      </c>
      <c r="I71" s="12" t="n">
        <v>81.31833899661738</v>
      </c>
      <c r="J71" s="13" t="n">
        <v>335.094659697125</v>
      </c>
      <c r="K71" s="13" t="n">
        <v>419.6026292225457</v>
      </c>
      <c r="L71" s="13" t="n">
        <v>335.094659697125</v>
      </c>
      <c r="N71" s="11" t="inlineStr">
        <is>
          <t>PAC (Brazil BRL)</t>
        </is>
      </c>
      <c r="O71" s="11" t="inlineStr">
        <is>
          <t>Brazilian factory PAC price (local Brazilian cost)</t>
        </is>
      </c>
    </row>
    <row r="72" ht="30" customHeight="1">
      <c r="A72" s="11" t="inlineStr">
        <is>
          <t>41A296304DDP4</t>
        </is>
      </c>
      <c r="B72" s="11" t="inlineStr">
        <is>
          <t>G-RECTIFIER POWER BLOCK</t>
        </is>
      </c>
      <c r="C72" s="11" t="inlineStr">
        <is>
          <t>SKID Assembly</t>
        </is>
      </c>
      <c r="D72" s="11" t="inlineStr">
        <is>
          <t>Controls (MCA, train control, er etc)</t>
        </is>
      </c>
      <c r="E72" s="11" t="n">
        <v>20</v>
      </c>
      <c r="G72" s="12" t="n">
        <v>1264.43025398997</v>
      </c>
      <c r="H72" s="12" t="n">
        <v>79.1654303775338</v>
      </c>
      <c r="I72" s="12" t="n">
        <v>1583.308607550676</v>
      </c>
      <c r="J72" s="13" t="n">
        <v>6524.460110588245</v>
      </c>
      <c r="K72" s="13" t="n">
        <v>8169.872414961488</v>
      </c>
      <c r="L72" s="13" t="n">
        <v>326.2230055294123</v>
      </c>
      <c r="N72" s="11" t="inlineStr">
        <is>
          <t>PAC (Brazil BRL)</t>
        </is>
      </c>
      <c r="O72" s="11" t="inlineStr">
        <is>
          <t>Brazilian factory PAC price (local Brazilian cost)</t>
        </is>
      </c>
    </row>
    <row r="73">
      <c r="A73" s="11" t="inlineStr">
        <is>
          <t>41A216641P235</t>
        </is>
      </c>
      <c r="B73" s="11" t="inlineStr">
        <is>
          <t>GOLINC / ACC POWER CONNECTOR</t>
        </is>
      </c>
      <c r="C73" s="11" t="inlineStr">
        <is>
          <t>Controls (MCA, train control, er etc)</t>
        </is>
      </c>
      <c r="D73" s="11" t="inlineStr">
        <is>
          <t>Wiring</t>
        </is>
      </c>
      <c r="E73" s="11" t="n">
        <v>3</v>
      </c>
      <c r="G73" s="12" t="n">
        <v>176.5883812484495</v>
      </c>
      <c r="H73" s="12" t="n">
        <v>73.70748027733931</v>
      </c>
      <c r="I73" s="12" t="n">
        <v>221.122440832018</v>
      </c>
      <c r="J73" s="13" t="n">
        <v>911.1960472419996</v>
      </c>
      <c r="K73" s="13" t="n">
        <v>1140.991794693213</v>
      </c>
      <c r="L73" s="13" t="n">
        <v>303.7320157473332</v>
      </c>
      <c r="N73" s="11" t="inlineStr">
        <is>
          <t>PAC (Brazil BRL)</t>
        </is>
      </c>
      <c r="O73" s="11" t="inlineStr">
        <is>
          <t>Brazilian factory PAC price (local Brazilian cost)</t>
        </is>
      </c>
    </row>
    <row r="74" ht="30" customHeight="1">
      <c r="A74" s="11" t="inlineStr">
        <is>
          <t>41A216641ABP139</t>
        </is>
      </c>
      <c r="B74" s="11" t="inlineStr">
        <is>
          <t>DISTRIBUTED POWER RADIO MODULE
BASE CONNECTOR</t>
        </is>
      </c>
      <c r="C74" s="11" t="inlineStr">
        <is>
          <t>Controls (MCA, train control, er etc)</t>
        </is>
      </c>
      <c r="D74" s="11" t="inlineStr">
        <is>
          <t>Wiring</t>
        </is>
      </c>
      <c r="E74" s="11" t="n">
        <v>1</v>
      </c>
      <c r="G74" s="12" t="n">
        <v>54.7297996697211</v>
      </c>
      <c r="H74" s="12" t="n">
        <v>68.53218090373291</v>
      </c>
      <c r="I74" s="12" t="n">
        <v>68.53218090373291</v>
      </c>
      <c r="J74" s="13" t="n">
        <v>282.4057662957609</v>
      </c>
      <c r="K74" s="13" t="n">
        <v>353.6260534632618</v>
      </c>
      <c r="L74" s="13" t="n">
        <v>282.4057662957609</v>
      </c>
      <c r="N74" s="11" t="inlineStr">
        <is>
          <t>PAC (Brazil BRL)</t>
        </is>
      </c>
      <c r="O74" s="11" t="inlineStr">
        <is>
          <t>Brazilian factory PAC price (local Brazilian cost)</t>
        </is>
      </c>
    </row>
    <row r="75" ht="30" customHeight="1">
      <c r="A75" s="11" t="inlineStr">
        <is>
          <t>84B104674ASP14</t>
        </is>
      </c>
      <c r="B75" s="11" t="inlineStr">
        <is>
          <t>AMBIENT AIR TEMPERATURE SENSOR
PLUG</t>
        </is>
      </c>
      <c r="C75" s="11" t="inlineStr">
        <is>
          <t>Controls (MCA, train control, er etc)</t>
        </is>
      </c>
      <c r="D75" s="11" t="inlineStr">
        <is>
          <t>MCA</t>
        </is>
      </c>
      <c r="E75" s="11" t="n">
        <v>1</v>
      </c>
      <c r="G75" s="12" t="n">
        <v>50.92756675130185</v>
      </c>
      <c r="H75" s="12" t="n">
        <v>63.77105779026027</v>
      </c>
      <c r="I75" s="12" t="n">
        <v>63.77105779026027</v>
      </c>
      <c r="J75" s="13" t="n">
        <v>262.7862444367175</v>
      </c>
      <c r="K75" s="13" t="n">
        <v>329.058658197743</v>
      </c>
      <c r="L75" s="13" t="n">
        <v>262.7862444367175</v>
      </c>
      <c r="N75" s="11" t="inlineStr">
        <is>
          <t>PAC (Brazil BRL)</t>
        </is>
      </c>
      <c r="O75" s="11" t="inlineStr">
        <is>
          <t>Brazilian factory PAC price (local Brazilian cost)</t>
        </is>
      </c>
    </row>
    <row r="76">
      <c r="A76" s="11" t="inlineStr">
        <is>
          <t>41A216641AMP126</t>
        </is>
      </c>
      <c r="B76" s="11" t="inlineStr">
        <is>
          <t>NIO1D CONNECTOR BACKSHELL</t>
        </is>
      </c>
      <c r="C76" s="11" t="inlineStr">
        <is>
          <t>Controls (MCA, train control, er etc)</t>
        </is>
      </c>
      <c r="D76" s="11" t="inlineStr">
        <is>
          <t>Wiring</t>
        </is>
      </c>
      <c r="E76" s="11" t="n">
        <v>3</v>
      </c>
      <c r="F76" s="12" t="n">
        <v>29.9096</v>
      </c>
      <c r="G76" s="12" t="n">
        <v>144.494902289472</v>
      </c>
      <c r="H76" s="12" t="n">
        <v>60.311754858282</v>
      </c>
      <c r="I76" s="12" t="n">
        <v>180.935264574846</v>
      </c>
      <c r="J76" s="13" t="n">
        <v>745.5936958136756</v>
      </c>
      <c r="K76" s="13" t="n">
        <v>933.6259652062054</v>
      </c>
      <c r="N76" s="11" t="inlineStr">
        <is>
          <t>Imported BOM (USA)</t>
        </is>
      </c>
      <c r="O76" s="11" t="inlineStr">
        <is>
          <t>Calculated with TP (17.2%) + International Freight (15%) + Import Duty (16%) + Domestic Freight (3%) | Qtd=3.0</t>
        </is>
      </c>
    </row>
    <row r="77">
      <c r="A77" s="11" t="inlineStr">
        <is>
          <t>41A216641AMP125</t>
        </is>
      </c>
      <c r="B77" s="11" t="inlineStr">
        <is>
          <t>NIO1A CONNECTOR BACKSHELL</t>
        </is>
      </c>
      <c r="C77" s="11" t="inlineStr">
        <is>
          <t>Controls (MCA, train control, er etc)</t>
        </is>
      </c>
      <c r="D77" s="11" t="inlineStr">
        <is>
          <t>Wiring</t>
        </is>
      </c>
      <c r="E77" s="11" t="n">
        <v>3</v>
      </c>
      <c r="F77" s="12" t="n">
        <v>24.1998</v>
      </c>
      <c r="G77" s="12" t="n">
        <v>116.910548333136</v>
      </c>
      <c r="H77" s="12" t="n">
        <v>48.79812519122465</v>
      </c>
      <c r="I77" s="12" t="n">
        <v>146.394375573674</v>
      </c>
      <c r="J77" s="13" t="n">
        <v>603.2584293989818</v>
      </c>
      <c r="K77" s="13" t="n">
        <v>755.3949779601576</v>
      </c>
      <c r="N77" s="11" t="inlineStr">
        <is>
          <t>Imported BOM (USA)</t>
        </is>
      </c>
      <c r="O77" s="11" t="inlineStr">
        <is>
          <t>Calculated with TP (17.2%) + International Freight (15%) + Import Duty (16%) + Domestic Freight (3%) | Qtd=3.0</t>
        </is>
      </c>
    </row>
    <row r="78">
      <c r="A78" s="11" t="inlineStr">
        <is>
          <t>41A216641AMP93</t>
        </is>
      </c>
      <c r="B78" s="11" t="inlineStr">
        <is>
          <t>NIO1E CONNECTOR</t>
        </is>
      </c>
      <c r="C78" s="11" t="inlineStr">
        <is>
          <t>Controls (MCA, train control, er etc)</t>
        </is>
      </c>
      <c r="D78" s="11" t="inlineStr">
        <is>
          <t>Wiring</t>
        </is>
      </c>
      <c r="E78" s="11" t="n">
        <v>3</v>
      </c>
      <c r="F78" s="12" t="n">
        <v>23.9499</v>
      </c>
      <c r="G78" s="12" t="n">
        <v>115.703267858568</v>
      </c>
      <c r="H78" s="12" t="n">
        <v>48.29420980823441</v>
      </c>
      <c r="I78" s="12" t="n">
        <v>144.8826294247032</v>
      </c>
      <c r="J78" s="13" t="n">
        <v>597.0288621502108</v>
      </c>
      <c r="K78" s="13" t="n">
        <v>747.5943678314686</v>
      </c>
      <c r="N78" s="11" t="inlineStr">
        <is>
          <t>Imported BOM (USA)</t>
        </is>
      </c>
      <c r="O78" s="11" t="inlineStr">
        <is>
          <t>Calculated with TP (17.2%) + International Freight (15%) + Import Duty (16%) + Domestic Freight (3%) | Qtd=3.0</t>
        </is>
      </c>
    </row>
    <row r="79">
      <c r="A79" s="11" t="inlineStr">
        <is>
          <t>41A316591P1</t>
        </is>
      </c>
      <c r="B79" s="11" t="inlineStr">
        <is>
          <t>Card Holder 3 Slot</t>
        </is>
      </c>
      <c r="C79" s="11" t="inlineStr">
        <is>
          <t>Controls (MCA, train control, er etc)</t>
        </is>
      </c>
      <c r="D79" s="11" t="inlineStr">
        <is>
          <t>TRAIN CONTROL</t>
        </is>
      </c>
      <c r="E79" s="11" t="n">
        <v>1</v>
      </c>
      <c r="G79" s="12" t="n">
        <v>38.45097864892767</v>
      </c>
      <c r="H79" s="12" t="n">
        <v>48.14798228014985</v>
      </c>
      <c r="I79" s="12" t="n">
        <v>48.14798228014985</v>
      </c>
      <c r="J79" s="13" t="n">
        <v>198.4070498284668</v>
      </c>
      <c r="K79" s="13" t="n">
        <v>248.4435885655733</v>
      </c>
      <c r="L79" s="13" t="n">
        <v>198.4070498284668</v>
      </c>
      <c r="N79" s="11" t="inlineStr">
        <is>
          <t>PAC (Brazil BRL)</t>
        </is>
      </c>
      <c r="O79" s="11" t="inlineStr">
        <is>
          <t>Brazilian factory PAC price (local Brazilian cost)</t>
        </is>
      </c>
    </row>
    <row r="80">
      <c r="A80" s="11" t="inlineStr">
        <is>
          <t>41A212414P31, 41A212414P3 2-Pole Option</t>
        </is>
      </c>
      <c r="B80" s="11" t="inlineStr">
        <is>
          <t>AUTOCOUPLER CIRCUIT BREAKER,  CCB(2A)</t>
        </is>
      </c>
      <c r="C80" s="11" t="inlineStr">
        <is>
          <t>Controls (MCA, train control, er etc)</t>
        </is>
      </c>
      <c r="D80" s="11" t="inlineStr">
        <is>
          <t>Circuit Breaker</t>
        </is>
      </c>
      <c r="E80" s="11" t="n">
        <v>1</v>
      </c>
      <c r="F80" s="12" t="n">
        <v>22.0206</v>
      </c>
      <c r="G80" s="12" t="n">
        <v>35.460904919664</v>
      </c>
      <c r="H80" s="12" t="n">
        <v>44.40383786584523</v>
      </c>
      <c r="I80" s="12" t="n">
        <v>44.40383786584523</v>
      </c>
      <c r="J80" s="13" t="n">
        <v>182.9782693854663</v>
      </c>
      <c r="K80" s="13" t="n">
        <v>229.1238033877614</v>
      </c>
      <c r="N80" s="11" t="inlineStr">
        <is>
          <t>Imported BOM (USA)</t>
        </is>
      </c>
      <c r="O80" s="11" t="inlineStr">
        <is>
          <t>Calculated with TP (17.2%) + International Freight (15%) + Import Duty (16%) + Domestic Freight (3%) | Qtd=1.0</t>
        </is>
      </c>
    </row>
    <row r="81">
      <c r="A81" s="11" t="inlineStr">
        <is>
          <t>41A216641AMP103</t>
        </is>
      </c>
      <c r="B81" s="11" t="inlineStr">
        <is>
          <t>NIO1D CONNECTOR</t>
        </is>
      </c>
      <c r="C81" s="11" t="inlineStr">
        <is>
          <t>Controls (MCA, train control, er etc)</t>
        </is>
      </c>
      <c r="D81" s="11" t="inlineStr">
        <is>
          <t>Wiring</t>
        </is>
      </c>
      <c r="E81" s="11" t="n">
        <v>3</v>
      </c>
      <c r="F81" s="12" t="n">
        <v>21.2198</v>
      </c>
      <c r="G81" s="12" t="n">
        <v>102.514006459536</v>
      </c>
      <c r="H81" s="12" t="n">
        <v>42.78905019598297</v>
      </c>
      <c r="I81" s="12" t="n">
        <v>128.3671505879489</v>
      </c>
      <c r="J81" s="13" t="n">
        <v>528.9722733312058</v>
      </c>
      <c r="K81" s="13" t="n">
        <v>662.3744970338164</v>
      </c>
      <c r="N81" s="11" t="inlineStr">
        <is>
          <t>Imported BOM (USA)</t>
        </is>
      </c>
      <c r="O81" s="11" t="inlineStr">
        <is>
          <t>Calculated with TP (17.2%) + International Freight (15%) + Import Duty (16%) + Domestic Freight (3%) | Qtd=3.0</t>
        </is>
      </c>
    </row>
    <row r="82">
      <c r="A82" s="11" t="inlineStr">
        <is>
          <t>41A216641AMP99</t>
        </is>
      </c>
      <c r="B82" s="11" t="inlineStr">
        <is>
          <t>NIO1B CONNECTOR</t>
        </is>
      </c>
      <c r="C82" s="11" t="inlineStr">
        <is>
          <t>Controls (MCA, train control, er etc)</t>
        </is>
      </c>
      <c r="D82" s="11" t="inlineStr">
        <is>
          <t>Wiring</t>
        </is>
      </c>
      <c r="E82" s="11" t="n">
        <v>3</v>
      </c>
      <c r="F82" s="12" t="n">
        <v>19.67</v>
      </c>
      <c r="G82" s="12" t="n">
        <v>95.02683847440002</v>
      </c>
      <c r="H82" s="12" t="n">
        <v>39.66392790483346</v>
      </c>
      <c r="I82" s="12" t="n">
        <v>118.9917837145004</v>
      </c>
      <c r="J82" s="13" t="n">
        <v>490.3384865279041</v>
      </c>
      <c r="K82" s="13" t="n">
        <v>613.9976039668221</v>
      </c>
      <c r="N82" s="11" t="inlineStr">
        <is>
          <t>Imported BOM (USA)</t>
        </is>
      </c>
      <c r="O82" s="11" t="inlineStr">
        <is>
          <t>Calculated with TP (17.2%) + International Freight (15%) + Import Duty (16%) + Domestic Freight (3%) | Qtd=3.0</t>
        </is>
      </c>
    </row>
    <row r="83">
      <c r="A83" s="11" t="inlineStr">
        <is>
          <t>41A216641AMP123</t>
        </is>
      </c>
      <c r="B83" s="11" t="inlineStr">
        <is>
          <t>NIO1F CONNECTOR BACKSHELL</t>
        </is>
      </c>
      <c r="C83" s="11" t="inlineStr">
        <is>
          <t>Controls (MCA, train control, er etc)</t>
        </is>
      </c>
      <c r="D83" s="11" t="inlineStr">
        <is>
          <t>Wiring</t>
        </is>
      </c>
      <c r="E83" s="11" t="n">
        <v>3</v>
      </c>
      <c r="F83" s="12" t="n">
        <v>19.5574</v>
      </c>
      <c r="G83" s="12" t="n">
        <v>94.48286175796801</v>
      </c>
      <c r="H83" s="12" t="n">
        <v>39.43687359461057</v>
      </c>
      <c r="I83" s="12" t="n">
        <v>118.3106207838317</v>
      </c>
      <c r="J83" s="13" t="n">
        <v>487.5315666711149</v>
      </c>
      <c r="K83" s="13" t="n">
        <v>610.4828032445718</v>
      </c>
      <c r="N83" s="11" t="inlineStr">
        <is>
          <t>Imported BOM (USA)</t>
        </is>
      </c>
      <c r="O83" s="11" t="inlineStr">
        <is>
          <t>Calculated with TP (17.2%) + International Freight (15%) + Import Duty (16%) + Domestic Freight (3%) | Qtd=3.0</t>
        </is>
      </c>
    </row>
    <row r="84">
      <c r="A84" s="11" t="inlineStr">
        <is>
          <t>41A216641AMP100</t>
        </is>
      </c>
      <c r="B84" s="11" t="inlineStr">
        <is>
          <t>NIO1C CONNECTOR</t>
        </is>
      </c>
      <c r="C84" s="11" t="inlineStr">
        <is>
          <t>Controls (MCA, train control, er etc)</t>
        </is>
      </c>
      <c r="D84" s="11" t="inlineStr">
        <is>
          <t>Wiring</t>
        </is>
      </c>
      <c r="E84" s="11" t="n">
        <v>3</v>
      </c>
      <c r="F84" s="12" t="n">
        <v>19.173</v>
      </c>
      <c r="G84" s="12" t="n">
        <v>92.62580447735999</v>
      </c>
      <c r="H84" s="12" t="n">
        <v>38.66174324958678</v>
      </c>
      <c r="I84" s="12" t="n">
        <v>115.9852297487603</v>
      </c>
      <c r="J84" s="13" t="n">
        <v>477.9491511031776</v>
      </c>
      <c r="K84" s="13" t="n">
        <v>598.4837855036034</v>
      </c>
      <c r="N84" s="11" t="inlineStr">
        <is>
          <t>Imported BOM (USA)</t>
        </is>
      </c>
      <c r="O84" s="11" t="inlineStr">
        <is>
          <t>Calculated with TP (17.2%) + International Freight (15%) + Import Duty (16%) + Domestic Freight (3%) | Qtd=3.0</t>
        </is>
      </c>
    </row>
    <row r="85">
      <c r="A85" s="11" t="inlineStr">
        <is>
          <t>41A216641AMP86</t>
        </is>
      </c>
      <c r="B85" s="11" t="inlineStr">
        <is>
          <t>NIO1F CONNECTOR</t>
        </is>
      </c>
      <c r="C85" s="11" t="inlineStr">
        <is>
          <t>Controls (MCA, train control, er etc)</t>
        </is>
      </c>
      <c r="D85" s="11" t="inlineStr">
        <is>
          <t>Wiring</t>
        </is>
      </c>
      <c r="E85" s="11" t="n">
        <v>3</v>
      </c>
      <c r="F85" s="12" t="n">
        <v>18.9357</v>
      </c>
      <c r="G85" s="12" t="n">
        <v>91.47939528722401</v>
      </c>
      <c r="H85" s="12" t="n">
        <v>38.18323536489857</v>
      </c>
      <c r="I85" s="12" t="n">
        <v>114.5497060946957</v>
      </c>
      <c r="J85" s="13" t="n">
        <v>472.0336796820759</v>
      </c>
      <c r="K85" s="13" t="n">
        <v>591.0764834486299</v>
      </c>
      <c r="N85" s="11" t="inlineStr">
        <is>
          <t>Imported BOM (USA)</t>
        </is>
      </c>
      <c r="O85" s="11" t="inlineStr">
        <is>
          <t>Calculated with TP (17.2%) + International Freight (15%) + Import Duty (16%) + Domestic Freight (3%) | Qtd=3.0</t>
        </is>
      </c>
    </row>
    <row r="86" ht="30" customHeight="1">
      <c r="A86" s="11" t="inlineStr">
        <is>
          <t>41A212414P3</t>
        </is>
      </c>
      <c r="B86" s="11" t="inlineStr">
        <is>
          <t>DYNAMIC BRAKE CIRCUIT BREAKER
(1P, 2A)</t>
        </is>
      </c>
      <c r="C86" s="11" t="inlineStr">
        <is>
          <t>Controls (MCA, train control, er etc)</t>
        </is>
      </c>
      <c r="D86" s="11" t="inlineStr">
        <is>
          <t>Circuit Breaker</t>
        </is>
      </c>
      <c r="E86" s="11" t="n">
        <v>1</v>
      </c>
      <c r="G86" s="12" t="n">
        <v>29.82187877131783</v>
      </c>
      <c r="H86" s="12" t="n">
        <v>37.34269818597274</v>
      </c>
      <c r="I86" s="12" t="n">
        <v>37.34269818597274</v>
      </c>
      <c r="J86" s="13" t="n">
        <v>153.88089446</v>
      </c>
      <c r="K86" s="13" t="n">
        <v>192.6883226396193</v>
      </c>
      <c r="L86" s="13" t="n">
        <v>153.88089446</v>
      </c>
      <c r="N86" s="11" t="inlineStr">
        <is>
          <t>PAC (Brazil BRL)</t>
        </is>
      </c>
      <c r="O86" s="11" t="inlineStr">
        <is>
          <t>Brazilian factory PAC price (local Brazilian cost)</t>
        </is>
      </c>
    </row>
    <row r="87" ht="30" customHeight="1">
      <c r="A87" s="11" t="inlineStr">
        <is>
          <t>41A212414P14</t>
        </is>
      </c>
      <c r="B87" s="11" t="inlineStr">
        <is>
          <t>PTC RADIO CIRCUIT BREAKER (2P,
15A)</t>
        </is>
      </c>
      <c r="C87" s="11" t="inlineStr">
        <is>
          <t>Controls (MCA, train control, er etc)</t>
        </is>
      </c>
      <c r="D87" s="11" t="inlineStr">
        <is>
          <t>Circuit Breaker</t>
        </is>
      </c>
      <c r="E87" s="11" t="n">
        <v>1</v>
      </c>
      <c r="G87" s="12" t="n">
        <v>29.79374214169389</v>
      </c>
      <c r="H87" s="12" t="n">
        <v>37.30746574216615</v>
      </c>
      <c r="I87" s="12" t="n">
        <v>37.30746574216615</v>
      </c>
      <c r="J87" s="13" t="n">
        <v>153.7357094511405</v>
      </c>
      <c r="K87" s="13" t="n">
        <v>192.5065232295773</v>
      </c>
      <c r="L87" s="13" t="n">
        <v>153.7357094511405</v>
      </c>
      <c r="N87" s="11" t="inlineStr">
        <is>
          <t>PAC (Brazil BRL)</t>
        </is>
      </c>
      <c r="O87" s="11" t="inlineStr">
        <is>
          <t>Brazilian factory PAC price (local Brazilian cost)</t>
        </is>
      </c>
    </row>
    <row r="88">
      <c r="A88" s="11" t="inlineStr">
        <is>
          <t>41A212414P15</t>
        </is>
      </c>
      <c r="B88" s="11" t="inlineStr">
        <is>
          <t>SMART DISPLAY #1 CIRCUIT BREAKER (2P, 6A)</t>
        </is>
      </c>
      <c r="C88" s="11" t="inlineStr">
        <is>
          <t>Controls (MCA, train control, er etc)</t>
        </is>
      </c>
      <c r="D88" s="11" t="inlineStr">
        <is>
          <t>Circuit Breaker</t>
        </is>
      </c>
      <c r="E88" s="11" t="n">
        <v>1</v>
      </c>
      <c r="G88" s="12" t="n">
        <v>29.53231403936616</v>
      </c>
      <c r="H88" s="12" t="n">
        <v>36.98010773774877</v>
      </c>
      <c r="I88" s="12" t="n">
        <v>36.98010773774877</v>
      </c>
      <c r="J88" s="13" t="n">
        <v>152.3867404431294</v>
      </c>
      <c r="K88" s="13" t="n">
        <v>190.8173559267836</v>
      </c>
      <c r="L88" s="13" t="n">
        <v>152.3867404431294</v>
      </c>
      <c r="N88" s="11" t="inlineStr">
        <is>
          <t>PAC (Brazil BRL)</t>
        </is>
      </c>
      <c r="O88" s="11" t="inlineStr">
        <is>
          <t>Brazilian factory PAC price (local Brazilian cost)</t>
        </is>
      </c>
    </row>
    <row r="89">
      <c r="A89" s="11" t="inlineStr">
        <is>
          <t>41A212414P5</t>
        </is>
      </c>
      <c r="B89" s="11" t="inlineStr">
        <is>
          <t>CABINET FANS BREAKER (2P, 5A) CBCB</t>
        </is>
      </c>
      <c r="C89" s="11" t="inlineStr">
        <is>
          <t>Controls (MCA, train control, er etc)</t>
        </is>
      </c>
      <c r="D89" s="11" t="inlineStr">
        <is>
          <t>Circuit Breaker</t>
        </is>
      </c>
      <c r="E89" s="11" t="n">
        <v>1</v>
      </c>
      <c r="G89" s="12" t="n">
        <v>29.40411733743017</v>
      </c>
      <c r="H89" s="12" t="n">
        <v>36.81958093842997</v>
      </c>
      <c r="I89" s="12" t="n">
        <v>36.81958093842997</v>
      </c>
      <c r="J89" s="13" t="n">
        <v>151.7252454611397</v>
      </c>
      <c r="K89" s="13" t="n">
        <v>189.9890376422986</v>
      </c>
      <c r="L89" s="13" t="n">
        <v>151.7252454611397</v>
      </c>
      <c r="N89" s="11" t="inlineStr">
        <is>
          <t>PAC (Brazil BRL)</t>
        </is>
      </c>
      <c r="O89" s="11" t="inlineStr">
        <is>
          <t>Brazilian factory PAC price (local Brazilian cost)</t>
        </is>
      </c>
    </row>
    <row r="90">
      <c r="A90" s="11" t="inlineStr">
        <is>
          <t>41A212414P4</t>
        </is>
      </c>
      <c r="B90" s="11" t="inlineStr">
        <is>
          <t>DC/DC #1 TL13 Side (1P, 10A)</t>
        </is>
      </c>
      <c r="C90" s="11" t="inlineStr">
        <is>
          <t>Controls (MCA, train control, er etc)</t>
        </is>
      </c>
      <c r="D90" s="11" t="inlineStr">
        <is>
          <t>Circuit Breaker</t>
        </is>
      </c>
      <c r="E90" s="11" t="n">
        <v>1</v>
      </c>
      <c r="G90" s="12" t="n">
        <v>28.96111199312044</v>
      </c>
      <c r="H90" s="12" t="n">
        <v>36.2648534849993</v>
      </c>
      <c r="I90" s="12" t="n">
        <v>36.2648534849993</v>
      </c>
      <c r="J90" s="13" t="n">
        <v>149.4393378845015</v>
      </c>
      <c r="K90" s="13" t="n">
        <v>187.1266439825964</v>
      </c>
      <c r="L90" s="13" t="n">
        <v>149.4393378845015</v>
      </c>
      <c r="N90" s="11" t="inlineStr">
        <is>
          <t>PAC (Brazil BRL)</t>
        </is>
      </c>
      <c r="O90" s="11" t="inlineStr">
        <is>
          <t>Brazilian factory PAC price (local Brazilian cost)</t>
        </is>
      </c>
    </row>
    <row r="91">
      <c r="A91" s="11" t="inlineStr">
        <is>
          <t>41A212414P2</t>
        </is>
      </c>
      <c r="B91" s="11" t="inlineStr">
        <is>
          <t>LIGHTING CIRCUIT BREAKER (2P, 30A)</t>
        </is>
      </c>
      <c r="C91" s="11" t="inlineStr">
        <is>
          <t>Controls (MCA, train control, er etc)</t>
        </is>
      </c>
      <c r="D91" s="11" t="inlineStr">
        <is>
          <t>Circuit Breaker</t>
        </is>
      </c>
      <c r="E91" s="11" t="n">
        <v>1</v>
      </c>
      <c r="G91" s="12" t="n">
        <v>28.82660173540957</v>
      </c>
      <c r="H91" s="12" t="n">
        <v>36.09642090584719</v>
      </c>
      <c r="I91" s="12" t="n">
        <v>36.09642090584719</v>
      </c>
      <c r="J91" s="13" t="n">
        <v>148.7452649547134</v>
      </c>
      <c r="K91" s="13" t="n">
        <v>186.2575318741715</v>
      </c>
      <c r="L91" s="13" t="n">
        <v>148.7452649547134</v>
      </c>
      <c r="N91" s="11" t="inlineStr">
        <is>
          <t>PAC (Brazil BRL)</t>
        </is>
      </c>
      <c r="O91" s="11" t="inlineStr">
        <is>
          <t>Brazilian factory PAC price (local Brazilian cost)</t>
        </is>
      </c>
    </row>
    <row r="92">
      <c r="A92" s="11" t="inlineStr">
        <is>
          <t>41A212414P8</t>
        </is>
      </c>
      <c r="B92" s="11" t="inlineStr">
        <is>
          <t>MULTI-TASK CIRCUIT BREAKER (2P, 25A)</t>
        </is>
      </c>
      <c r="C92" s="11" t="inlineStr">
        <is>
          <t>Controls (MCA, train control, er etc)</t>
        </is>
      </c>
      <c r="D92" s="11" t="inlineStr">
        <is>
          <t>Circuit Breaker</t>
        </is>
      </c>
      <c r="E92" s="11" t="n">
        <v>1</v>
      </c>
      <c r="G92" s="12" t="n">
        <v>27.7916093252924</v>
      </c>
      <c r="H92" s="12" t="n">
        <v>34.80041237827748</v>
      </c>
      <c r="I92" s="12" t="n">
        <v>34.80041237827748</v>
      </c>
      <c r="J92" s="13" t="n">
        <v>143.4047041185088</v>
      </c>
      <c r="K92" s="13" t="n">
        <v>179.5701278719118</v>
      </c>
      <c r="L92" s="13" t="n">
        <v>143.4047041185088</v>
      </c>
      <c r="N92" s="11" t="inlineStr">
        <is>
          <t>PAC (Brazil BRL)</t>
        </is>
      </c>
      <c r="O92" s="11" t="inlineStr">
        <is>
          <t>Brazilian factory PAC price (local Brazilian cost)</t>
        </is>
      </c>
    </row>
    <row r="93">
      <c r="A93" s="11" t="inlineStr">
        <is>
          <t>41A296326AUP1</t>
        </is>
      </c>
      <c r="B93" s="11" t="inlineStr">
        <is>
          <t>LOGIC POWER SUPPLY CONN (62 PIN)</t>
        </is>
      </c>
      <c r="C93" s="11" t="inlineStr">
        <is>
          <t>Controls (MCA, train control, er etc)</t>
        </is>
      </c>
      <c r="D93" s="11" t="inlineStr">
        <is>
          <t>Wiring</t>
        </is>
      </c>
      <c r="E93" s="11" t="n">
        <v>1</v>
      </c>
      <c r="G93" s="12" t="n">
        <v>26.53791348069886</v>
      </c>
      <c r="H93" s="12" t="n">
        <v>33.23054530515761</v>
      </c>
      <c r="I93" s="12" t="n">
        <v>33.23054530515761</v>
      </c>
      <c r="J93" s="13" t="n">
        <v>136.9356335604061</v>
      </c>
      <c r="K93" s="13" t="n">
        <v>171.4696137746133</v>
      </c>
      <c r="L93" s="13" t="n">
        <v>136.9356335604061</v>
      </c>
      <c r="N93" s="11" t="inlineStr">
        <is>
          <t>PAC (Brazil BRL)</t>
        </is>
      </c>
      <c r="O93" s="11" t="inlineStr">
        <is>
          <t>Brazilian factory PAC price (local Brazilian cost)</t>
        </is>
      </c>
    </row>
    <row r="94">
      <c r="A94" s="11" t="inlineStr">
        <is>
          <t>41A216641AMP98</t>
        </is>
      </c>
      <c r="B94" s="11" t="inlineStr">
        <is>
          <t>NIO1A CONNECTOR</t>
        </is>
      </c>
      <c r="C94" s="11" t="inlineStr">
        <is>
          <t>Controls (MCA, train control, er etc)</t>
        </is>
      </c>
      <c r="D94" s="11" t="inlineStr">
        <is>
          <t>Wiring</t>
        </is>
      </c>
      <c r="E94" s="11" t="n">
        <v>3</v>
      </c>
      <c r="F94" s="12" t="n">
        <v>15.455</v>
      </c>
      <c r="G94" s="12" t="n">
        <v>74.66394451560001</v>
      </c>
      <c r="H94" s="12" t="n">
        <v>31.16451478236915</v>
      </c>
      <c r="I94" s="12" t="n">
        <v>93.49354434710744</v>
      </c>
      <c r="J94" s="13" t="n">
        <v>385.265953700496</v>
      </c>
      <c r="K94" s="13" t="n">
        <v>482.4266888310744</v>
      </c>
      <c r="N94" s="11" t="inlineStr">
        <is>
          <t>Imported BOM (USA)</t>
        </is>
      </c>
      <c r="O94" s="11" t="inlineStr">
        <is>
          <t>Calculated with TP (17.2%) + International Freight (15%) + Import Duty (16%) + Domestic Freight (3%) | Qtd=3.0</t>
        </is>
      </c>
    </row>
    <row r="95">
      <c r="A95" s="11" t="inlineStr">
        <is>
          <t>84A232147P1</t>
        </is>
      </c>
      <c r="B95" s="11" t="inlineStr">
        <is>
          <t>KNOB HLD DWN with washer and screw</t>
        </is>
      </c>
      <c r="C95" s="11" t="inlineStr">
        <is>
          <t>Controls (MCA, train control, er etc)</t>
        </is>
      </c>
      <c r="D95" s="11" t="inlineStr">
        <is>
          <t>TRAIN CONTROL</t>
        </is>
      </c>
      <c r="E95" s="11" t="n">
        <v>30</v>
      </c>
      <c r="G95" s="12" t="n">
        <v>741.1382115962427</v>
      </c>
      <c r="H95" s="12" t="n">
        <v>30.93489488255458</v>
      </c>
      <c r="I95" s="12" t="n">
        <v>928.0468464766375</v>
      </c>
      <c r="J95" s="13" t="n">
        <v>3824.273171836612</v>
      </c>
      <c r="K95" s="13" t="n">
        <v>4788.721727819449</v>
      </c>
      <c r="L95" s="13" t="n">
        <v>127.4757723945537</v>
      </c>
      <c r="N95" s="11" t="inlineStr">
        <is>
          <t>PAC (Brazil BRL)</t>
        </is>
      </c>
      <c r="O95" s="11" t="inlineStr">
        <is>
          <t>Brazilian factory PAC price (local Brazilian cost)</t>
        </is>
      </c>
    </row>
    <row r="96">
      <c r="A96" s="11" t="inlineStr">
        <is>
          <t>41A268255P4</t>
        </is>
      </c>
      <c r="B96" s="11" t="inlineStr">
        <is>
          <t>DIAGNOSTIC ACCESS SWITCH</t>
        </is>
      </c>
      <c r="C96" s="11" t="inlineStr">
        <is>
          <t>Controls (MCA, train control, er etc)</t>
        </is>
      </c>
      <c r="D96" s="11" t="inlineStr">
        <is>
          <t>TRAIN CONTROL</t>
        </is>
      </c>
      <c r="E96" s="11" t="n">
        <v>1</v>
      </c>
      <c r="G96" s="12" t="n">
        <v>24.50462499209128</v>
      </c>
      <c r="H96" s="12" t="n">
        <v>30.68447907850148</v>
      </c>
      <c r="I96" s="12" t="n">
        <v>30.68447907850148</v>
      </c>
      <c r="J96" s="13" t="n">
        <v>126.443864959191</v>
      </c>
      <c r="K96" s="13" t="n">
        <v>158.3319120450676</v>
      </c>
      <c r="L96" s="13" t="n">
        <v>126.443864959191</v>
      </c>
      <c r="N96" s="11" t="inlineStr">
        <is>
          <t>PAC (Brazil BRL)</t>
        </is>
      </c>
      <c r="O96" s="11" t="inlineStr">
        <is>
          <t>Brazilian factory PAC price (local Brazilian cost)</t>
        </is>
      </c>
    </row>
    <row r="97">
      <c r="A97" s="11" t="inlineStr">
        <is>
          <t>41A250095G10</t>
        </is>
      </c>
      <c r="B97" s="11" t="inlineStr">
        <is>
          <t>TERMINAL BOARD (20 POINT)</t>
        </is>
      </c>
      <c r="C97" s="11" t="inlineStr">
        <is>
          <t>Controls (MCA, train control, er etc)</t>
        </is>
      </c>
      <c r="D97" s="11" t="inlineStr">
        <is>
          <t>TRAIN CONTROL</t>
        </is>
      </c>
      <c r="E97" s="11" t="n">
        <v>1</v>
      </c>
      <c r="G97" s="12" t="n">
        <v>24.27524347424056</v>
      </c>
      <c r="H97" s="12" t="n">
        <v>30.39724952947729</v>
      </c>
      <c r="I97" s="12" t="n">
        <v>30.39724952947729</v>
      </c>
      <c r="J97" s="13" t="n">
        <v>125.2602563270813</v>
      </c>
      <c r="K97" s="13" t="n">
        <v>156.8498075721028</v>
      </c>
      <c r="L97" s="13" t="n">
        <v>125.2602563270813</v>
      </c>
      <c r="N97" s="11" t="inlineStr">
        <is>
          <t>PAC (Brazil BRL)</t>
        </is>
      </c>
      <c r="O97" s="11" t="inlineStr">
        <is>
          <t>Brazilian factory PAC price (local Brazilian cost)</t>
        </is>
      </c>
    </row>
    <row r="98">
      <c r="A98" s="11" t="inlineStr">
        <is>
          <t>41A251900G1</t>
        </is>
      </c>
      <c r="B98" s="11" t="inlineStr">
        <is>
          <t>RADIO LOCKER TERMINAL BOARD (12 POINT)</t>
        </is>
      </c>
      <c r="C98" s="11" t="inlineStr">
        <is>
          <t>Controls (MCA, train control, er etc)</t>
        </is>
      </c>
      <c r="D98" s="11" t="inlineStr">
        <is>
          <t>TRAIN CONTROL</t>
        </is>
      </c>
      <c r="E98" s="11" t="n">
        <v>1</v>
      </c>
      <c r="G98" s="12" t="n">
        <v>22.51297595661987</v>
      </c>
      <c r="H98" s="12" t="n">
        <v>28.19055341424977</v>
      </c>
      <c r="I98" s="12" t="n">
        <v>28.19055341424977</v>
      </c>
      <c r="J98" s="13" t="n">
        <v>116.1669559361585</v>
      </c>
      <c r="K98" s="13" t="n">
        <v>145.4632556175288</v>
      </c>
      <c r="L98" s="13" t="n">
        <v>116.1669559361585</v>
      </c>
      <c r="N98" s="11" t="inlineStr">
        <is>
          <t>PAC (Brazil BRL)</t>
        </is>
      </c>
      <c r="O98" s="11" t="inlineStr">
        <is>
          <t>Brazilian factory PAC price (local Brazilian cost)</t>
        </is>
      </c>
    </row>
    <row r="99">
      <c r="A99" s="11" t="inlineStr">
        <is>
          <t>5373-219</t>
        </is>
      </c>
      <c r="B99" s="11" t="inlineStr">
        <is>
          <t>CONNECTOR, ELECTRICAL</t>
        </is>
      </c>
      <c r="C99" s="11" t="inlineStr">
        <is>
          <t>Controls (MCA, train control, er etc)</t>
        </is>
      </c>
      <c r="D99" s="11" t="inlineStr">
        <is>
          <t>Wiring</t>
        </is>
      </c>
      <c r="E99" s="11" t="n">
        <v>1</v>
      </c>
      <c r="F99" s="12" t="n">
        <v>13.66</v>
      </c>
      <c r="G99" s="12" t="n">
        <v>21.9974006704</v>
      </c>
      <c r="H99" s="12" t="n">
        <v>27.54495450838969</v>
      </c>
      <c r="I99" s="12" t="n">
        <v>27.54495450838969</v>
      </c>
      <c r="J99" s="13" t="n">
        <v>113.506587459264</v>
      </c>
      <c r="K99" s="13" t="n">
        <v>142.1319652632908</v>
      </c>
      <c r="N99" s="11" t="inlineStr">
        <is>
          <t>Imported BOM (USA)</t>
        </is>
      </c>
      <c r="O99" s="11" t="inlineStr">
        <is>
          <t>Calculated with TP (17.2%) + International Freight (15%) + Import Duty (16%) + Domestic Freight (3%) | Qtd=1.0</t>
        </is>
      </c>
    </row>
    <row r="100">
      <c r="A100" s="11" t="inlineStr">
        <is>
          <t>41A305772P1</t>
        </is>
      </c>
      <c r="B100" s="11" t="inlineStr">
        <is>
          <t>WORK LIGHT - SWITCH - #1 END (LIGHTING BREAKER)</t>
        </is>
      </c>
      <c r="C100" s="11" t="inlineStr">
        <is>
          <t>Power</t>
        </is>
      </c>
      <c r="D100" s="11" t="inlineStr">
        <is>
          <t>Circuit Breaker</t>
        </is>
      </c>
      <c r="E100" s="11" t="n">
        <v>1</v>
      </c>
      <c r="G100" s="12" t="n">
        <v>20.95177738950445</v>
      </c>
      <c r="H100" s="12" t="n">
        <v>26.23563409654953</v>
      </c>
      <c r="I100" s="12" t="n">
        <v>26.23563409654953</v>
      </c>
      <c r="J100" s="13" t="n">
        <v>108.111171329843</v>
      </c>
      <c r="K100" s="13" t="n">
        <v>135.3758719381956</v>
      </c>
      <c r="L100" s="13" t="n">
        <v>108.111171329843</v>
      </c>
      <c r="N100" s="11" t="inlineStr">
        <is>
          <t>PAC (Brazil BRL)</t>
        </is>
      </c>
      <c r="O100" s="11" t="inlineStr">
        <is>
          <t>Brazilian factory PAC price (local Brazilian cost)</t>
        </is>
      </c>
    </row>
    <row r="101">
      <c r="A101" s="11" t="inlineStr">
        <is>
          <t>497A911P1</t>
        </is>
      </c>
      <c r="B101" s="11" t="inlineStr">
        <is>
          <t>STEP LIGHT SWITCH</t>
        </is>
      </c>
      <c r="C101" s="11" t="inlineStr">
        <is>
          <t>Controls (MCA, train control, er etc)</t>
        </is>
      </c>
      <c r="D101" s="11" t="inlineStr">
        <is>
          <t>TRAIN CONTROL</t>
        </is>
      </c>
      <c r="E101" s="11" t="n">
        <v>1</v>
      </c>
      <c r="G101" s="12" t="n">
        <v>19.22711567620054</v>
      </c>
      <c r="H101" s="12" t="n">
        <v>24.07602764362703</v>
      </c>
      <c r="I101" s="12" t="n">
        <v>24.07602764362703</v>
      </c>
      <c r="J101" s="13" t="n">
        <v>99.2119168891948</v>
      </c>
      <c r="K101" s="13" t="n">
        <v>124.2323026411155</v>
      </c>
      <c r="L101" s="13" t="n">
        <v>99.2119168891948</v>
      </c>
      <c r="N101" s="11" t="inlineStr">
        <is>
          <t>PAC (Brazil BRL)</t>
        </is>
      </c>
      <c r="O101" s="11" t="inlineStr">
        <is>
          <t>Brazilian factory PAC price (local Brazilian cost)</t>
        </is>
      </c>
    </row>
    <row r="102">
      <c r="A102" s="11" t="inlineStr">
        <is>
          <t>41A212414P35</t>
        </is>
      </c>
      <c r="B102" s="11" t="inlineStr">
        <is>
          <t>CIRCUIT BREAKER 1P</t>
        </is>
      </c>
      <c r="C102" s="11" t="inlineStr">
        <is>
          <t>SKID Assembly</t>
        </is>
      </c>
      <c r="D102" s="11" t="inlineStr">
        <is>
          <t>SKID (Skid)</t>
        </is>
      </c>
      <c r="E102" s="11" t="n">
        <v>6</v>
      </c>
      <c r="G102" s="12" t="n">
        <v>87.92827906116628</v>
      </c>
      <c r="H102" s="12" t="n">
        <v>18.35050485457181</v>
      </c>
      <c r="I102" s="12" t="n">
        <v>110.1030291274309</v>
      </c>
      <c r="J102" s="13" t="n">
        <v>453.709919955618</v>
      </c>
      <c r="K102" s="13" t="n">
        <v>568.1316302975433</v>
      </c>
      <c r="L102" s="13" t="n">
        <v>75.61831999260301</v>
      </c>
      <c r="N102" s="11" t="inlineStr">
        <is>
          <t>PAC (Brazil BRL)</t>
        </is>
      </c>
      <c r="O102" s="11" t="inlineStr">
        <is>
          <t>Brazilian factory PAC price (local Brazilian cost)</t>
        </is>
      </c>
    </row>
    <row r="103" ht="30" customHeight="1">
      <c r="A103" s="11" t="inlineStr">
        <is>
          <t>84B519079G1</t>
        </is>
      </c>
      <c r="B103" s="11" t="inlineStr">
        <is>
          <t>MAIN RESERVOIR PRESSURE SENSOR
CONNECTOR</t>
        </is>
      </c>
      <c r="C103" s="11" t="inlineStr">
        <is>
          <t>Controls (MCA, train control, er etc)</t>
        </is>
      </c>
      <c r="D103" s="11" t="inlineStr">
        <is>
          <t>MCA</t>
        </is>
      </c>
      <c r="E103" s="11" t="n">
        <v>1</v>
      </c>
      <c r="G103" s="12" t="n">
        <v>14.27112448752062</v>
      </c>
      <c r="H103" s="12" t="n">
        <v>17.87017842163865</v>
      </c>
      <c r="I103" s="12" t="n">
        <v>17.87017842163865</v>
      </c>
      <c r="J103" s="13" t="n">
        <v>73.63900235560642</v>
      </c>
      <c r="K103" s="13" t="n">
        <v>92.21012065565543</v>
      </c>
      <c r="L103" s="13" t="n">
        <v>73.63900235560642</v>
      </c>
      <c r="N103" s="11" t="inlineStr">
        <is>
          <t>PAC (Brazil BRL)</t>
        </is>
      </c>
      <c r="O103" s="11" t="inlineStr">
        <is>
          <t>Brazilian factory PAC price (local Brazilian cost)</t>
        </is>
      </c>
    </row>
    <row r="104">
      <c r="A104" s="11" t="inlineStr">
        <is>
          <t>41A212414P39</t>
        </is>
      </c>
      <c r="B104" s="11" t="inlineStr">
        <is>
          <t>CONTROL SWITCH CIRCUIT BREAKER (1P, 30A)</t>
        </is>
      </c>
      <c r="C104" s="11" t="inlineStr">
        <is>
          <t>Controls (MCA, train control, er etc)</t>
        </is>
      </c>
      <c r="D104" s="11" t="inlineStr">
        <is>
          <t>Circuit Breaker</t>
        </is>
      </c>
      <c r="E104" s="11" t="n">
        <v>1</v>
      </c>
      <c r="G104" s="12" t="n">
        <v>13.86158490334363</v>
      </c>
      <c r="H104" s="12" t="n">
        <v>17.3573565030599</v>
      </c>
      <c r="I104" s="12" t="n">
        <v>17.3573565030599</v>
      </c>
      <c r="J104" s="13" t="n">
        <v>71.52577810125315</v>
      </c>
      <c r="K104" s="13" t="n">
        <v>89.56395955578907</v>
      </c>
      <c r="L104" s="13" t="n">
        <v>71.52577810125315</v>
      </c>
      <c r="N104" s="11" t="inlineStr">
        <is>
          <t>PAC (Brazil BRL)</t>
        </is>
      </c>
      <c r="O104" s="11" t="inlineStr">
        <is>
          <t>Brazilian factory PAC price (local Brazilian cost)</t>
        </is>
      </c>
    </row>
    <row r="105">
      <c r="A105" s="11" t="inlineStr">
        <is>
          <t>41A296328AAP5</t>
        </is>
      </c>
      <c r="B105" s="11" t="inlineStr">
        <is>
          <t>SENSOR, THERMISTOR TEMPERATURE PROBE</t>
        </is>
      </c>
      <c r="C105" s="11" t="inlineStr">
        <is>
          <t>Controls (MCA, train control, er etc)</t>
        </is>
      </c>
      <c r="D105" s="11" t="inlineStr">
        <is>
          <t>MCA</t>
        </is>
      </c>
      <c r="E105" s="11" t="n">
        <v>1</v>
      </c>
      <c r="G105" s="12" t="n">
        <v>13.46407768580174</v>
      </c>
      <c r="H105" s="12" t="n">
        <v>16.85960140971919</v>
      </c>
      <c r="I105" s="12" t="n">
        <v>16.85960140971919</v>
      </c>
      <c r="J105" s="13" t="n">
        <v>69.474640858737</v>
      </c>
      <c r="K105" s="13" t="n">
        <v>86.99554327415103</v>
      </c>
      <c r="L105" s="13" t="n">
        <v>69.474640858737</v>
      </c>
      <c r="N105" s="11" t="inlineStr">
        <is>
          <t>PAC (Brazil BRL)</t>
        </is>
      </c>
      <c r="O105" s="11" t="inlineStr">
        <is>
          <t>Brazilian factory PAC price (local Brazilian cost)</t>
        </is>
      </c>
    </row>
    <row r="106">
      <c r="A106" s="11" t="inlineStr">
        <is>
          <t>84A207079ABP1</t>
        </is>
      </c>
      <c r="B106" s="11" t="inlineStr">
        <is>
          <t>41A313392DCP18 alternative 300" /</t>
        </is>
      </c>
      <c r="C106" s="11" t="inlineStr">
        <is>
          <t>Controls (MCA, train control, er etc)</t>
        </is>
      </c>
      <c r="D106" s="11" t="inlineStr">
        <is>
          <t>Wiring</t>
        </is>
      </c>
      <c r="E106" s="11" t="n">
        <v>25</v>
      </c>
      <c r="F106" s="12" t="n">
        <v>8.118</v>
      </c>
      <c r="G106" s="12" t="n">
        <v>326.820824748</v>
      </c>
      <c r="H106" s="12" t="n">
        <v>16.36968819173554</v>
      </c>
      <c r="I106" s="12" t="n">
        <v>409.2422047933885</v>
      </c>
      <c r="J106" s="13" t="n">
        <v>1686.39545569968</v>
      </c>
      <c r="K106" s="13" t="n">
        <v>2111.689776733885</v>
      </c>
      <c r="N106" s="11" t="inlineStr">
        <is>
          <t>Imported BOM (USA)</t>
        </is>
      </c>
      <c r="O106" s="11" t="inlineStr">
        <is>
          <t>Calculated with TP (17.2%) + International Freight (15%) + Import Duty (16%) + Domestic Freight (3%) | Qtd=25.0</t>
        </is>
      </c>
    </row>
    <row r="107">
      <c r="A107" s="11" t="inlineStr">
        <is>
          <t>41B564808G1</t>
        </is>
      </c>
      <c r="B107" s="11" t="inlineStr">
        <is>
          <t>A-DIODE ASM</t>
        </is>
      </c>
      <c r="C107" s="11" t="inlineStr">
        <is>
          <t>SKID Assembly</t>
        </is>
      </c>
      <c r="D107" s="11" t="inlineStr">
        <is>
          <t>SKID (Skid)</t>
        </is>
      </c>
      <c r="E107" s="11" t="n">
        <v>16</v>
      </c>
      <c r="G107" s="12" t="n">
        <v>197.8697512114788</v>
      </c>
      <c r="H107" s="12" t="n">
        <v>15.48567424332259</v>
      </c>
      <c r="I107" s="12" t="n">
        <v>247.7707878931615</v>
      </c>
      <c r="J107" s="13" t="n">
        <v>1021.007916251231</v>
      </c>
      <c r="K107" s="13" t="n">
        <v>1278.497265528713</v>
      </c>
      <c r="L107" s="13" t="n">
        <v>63.81299476570191</v>
      </c>
      <c r="N107" s="11" t="inlineStr">
        <is>
          <t>PAC (Brazil BRL)</t>
        </is>
      </c>
      <c r="O107" s="11" t="inlineStr">
        <is>
          <t>Brazilian factory PAC price (local Brazilian cost)</t>
        </is>
      </c>
    </row>
    <row r="108">
      <c r="A108" s="11" t="inlineStr">
        <is>
          <t>41A271471P61</t>
        </is>
      </c>
      <c r="B108" s="11" t="inlineStr">
        <is>
          <t>TRAINLINE RESISTOR PANEL CONN</t>
        </is>
      </c>
      <c r="C108" s="11" t="inlineStr">
        <is>
          <t>Controls (MCA, train control, er etc)</t>
        </is>
      </c>
      <c r="D108" s="11" t="inlineStr">
        <is>
          <t>Wiring</t>
        </is>
      </c>
      <c r="E108" s="11" t="n">
        <v>1</v>
      </c>
      <c r="G108" s="12" t="n">
        <v>11.32834683802143</v>
      </c>
      <c r="H108" s="12" t="n">
        <v>14.18525774858681</v>
      </c>
      <c r="I108" s="12" t="n">
        <v>14.18525774858681</v>
      </c>
      <c r="J108" s="13" t="n">
        <v>58.45426968419057</v>
      </c>
      <c r="K108" s="13" t="n">
        <v>73.19592998270795</v>
      </c>
      <c r="L108" s="13" t="n">
        <v>58.45426968419057</v>
      </c>
      <c r="N108" s="11" t="inlineStr">
        <is>
          <t>PAC (Brazil BRL)</t>
        </is>
      </c>
      <c r="O108" s="11" t="inlineStr">
        <is>
          <t>Brazilian factory PAC price (local Brazilian cost)</t>
        </is>
      </c>
    </row>
    <row r="109">
      <c r="A109" s="11" t="inlineStr">
        <is>
          <t>41A271474P17</t>
        </is>
      </c>
      <c r="B109" s="11" t="inlineStr">
        <is>
          <t>AUX SHEET CONNECTOR</t>
        </is>
      </c>
      <c r="C109" s="11" t="inlineStr">
        <is>
          <t>Controls (MCA, train control, er etc)</t>
        </is>
      </c>
      <c r="D109" s="11" t="inlineStr">
        <is>
          <t>Wiring</t>
        </is>
      </c>
      <c r="E109" s="11" t="n">
        <v>1</v>
      </c>
      <c r="G109" s="12" t="n">
        <v>8.159644252368604</v>
      </c>
      <c r="H109" s="12" t="n">
        <v>10.21743582816004</v>
      </c>
      <c r="I109" s="12" t="n">
        <v>10.21743582816004</v>
      </c>
      <c r="J109" s="13" t="n">
        <v>42.103764342222</v>
      </c>
      <c r="K109" s="13" t="n">
        <v>52.72196887330579</v>
      </c>
      <c r="L109" s="13" t="n">
        <v>42.103764342222</v>
      </c>
      <c r="N109" s="11" t="inlineStr">
        <is>
          <t>PAC (Brazil BRL)</t>
        </is>
      </c>
      <c r="O109" s="11" t="inlineStr">
        <is>
          <t>Brazilian factory PAC price (local Brazilian cost)</t>
        </is>
      </c>
    </row>
    <row r="110">
      <c r="A110" s="11" t="inlineStr">
        <is>
          <t>84B514977G1</t>
        </is>
      </c>
      <c r="B110" s="11" t="inlineStr">
        <is>
          <t>CONNECTION ASM</t>
        </is>
      </c>
      <c r="C110" s="11" t="inlineStr">
        <is>
          <t>Controls (MCA, train control, er etc)</t>
        </is>
      </c>
      <c r="D110" s="11" t="inlineStr">
        <is>
          <t>MCA</t>
        </is>
      </c>
      <c r="E110" s="11" t="n">
        <v>1</v>
      </c>
      <c r="G110" s="12" t="n">
        <v>8.103187962658673</v>
      </c>
      <c r="H110" s="12" t="n">
        <v>10.14674175138827</v>
      </c>
      <c r="I110" s="12" t="n">
        <v>10.14674175138827</v>
      </c>
      <c r="J110" s="13" t="n">
        <v>41.81244988731875</v>
      </c>
      <c r="K110" s="13" t="n">
        <v>52.35718743716347</v>
      </c>
      <c r="L110" s="13" t="n">
        <v>41.81244988731875</v>
      </c>
      <c r="N110" s="11" t="inlineStr">
        <is>
          <t>PAC (Brazil BRL)</t>
        </is>
      </c>
      <c r="O110" s="11" t="inlineStr">
        <is>
          <t>Brazilian factory PAC price (local Brazilian cost)</t>
        </is>
      </c>
    </row>
    <row r="111">
      <c r="A111" s="11" t="inlineStr">
        <is>
          <t>41A271474P13</t>
        </is>
      </c>
      <c r="B111" s="11" t="inlineStr">
        <is>
          <t>AUX SHEET CONNECTOR - PIN</t>
        </is>
      </c>
      <c r="C111" s="11" t="inlineStr">
        <is>
          <t>Controls (MCA, train control, er etc)</t>
        </is>
      </c>
      <c r="D111" s="11" t="inlineStr">
        <is>
          <t>Wiring</t>
        </is>
      </c>
      <c r="E111" s="11" t="n">
        <v>1</v>
      </c>
      <c r="G111" s="12" t="n">
        <v>6.880513166666667</v>
      </c>
      <c r="H111" s="12" t="n">
        <v>8.615718966524751</v>
      </c>
      <c r="I111" s="12" t="n">
        <v>8.615718966524751</v>
      </c>
      <c r="J111" s="13" t="n">
        <v>35.50344794</v>
      </c>
      <c r="K111" s="13" t="n">
        <v>44.45710986726772</v>
      </c>
      <c r="L111" s="13" t="n">
        <v>35.50344794</v>
      </c>
      <c r="N111" s="11" t="inlineStr">
        <is>
          <t>PAC (Brazil BRL)</t>
        </is>
      </c>
      <c r="O111" s="11" t="inlineStr">
        <is>
          <t>Brazilian factory PAC price (local Brazilian cost)</t>
        </is>
      </c>
    </row>
    <row r="112">
      <c r="A112" s="11" t="inlineStr">
        <is>
          <t>84A232147P2</t>
        </is>
      </c>
      <c r="B112" s="11" t="inlineStr">
        <is>
          <t>PIN            REAR HOLD-DOWN</t>
        </is>
      </c>
      <c r="C112" s="11" t="inlineStr">
        <is>
          <t>Controls (MCA, train control, er etc)</t>
        </is>
      </c>
      <c r="D112" s="11" t="inlineStr">
        <is>
          <t>TRAIN CONTROL</t>
        </is>
      </c>
      <c r="E112" s="11" t="n">
        <v>30</v>
      </c>
      <c r="G112" s="12" t="n">
        <v>132.5706070224738</v>
      </c>
      <c r="H112" s="12" t="n">
        <v>5.533458845582846</v>
      </c>
      <c r="I112" s="12" t="n">
        <v>166.0037653674854</v>
      </c>
      <c r="J112" s="13" t="n">
        <v>684.0643322359649</v>
      </c>
      <c r="K112" s="13" t="n">
        <v>856.5794292962246</v>
      </c>
      <c r="L112" s="13" t="n">
        <v>22.8021444078655</v>
      </c>
      <c r="N112" s="11" t="inlineStr">
        <is>
          <t>PAC (Brazil BRL)</t>
        </is>
      </c>
      <c r="O112" s="11" t="inlineStr">
        <is>
          <t>Brazilian factory PAC price (local Brazilian cost)</t>
        </is>
      </c>
    </row>
    <row r="113">
      <c r="A113" s="11" t="inlineStr">
        <is>
          <t>84A206730P1</t>
        </is>
      </c>
      <c r="B113" s="11" t="inlineStr">
        <is>
          <t>565" / CABLE 5 PAIR</t>
        </is>
      </c>
      <c r="C113" s="11" t="inlineStr">
        <is>
          <t>Controls (MCA, train control, er etc)</t>
        </is>
      </c>
      <c r="D113" s="11" t="inlineStr">
        <is>
          <t>Wiring</t>
        </is>
      </c>
      <c r="E113" s="11" t="n">
        <v>50</v>
      </c>
      <c r="G113" s="12" t="n">
        <v>174.0783717380565</v>
      </c>
      <c r="H113" s="12" t="n">
        <v>4.359588573454958</v>
      </c>
      <c r="I113" s="12" t="n">
        <v>217.9794286727479</v>
      </c>
      <c r="J113" s="13" t="n">
        <v>898.2443981683714</v>
      </c>
      <c r="K113" s="13" t="n">
        <v>1124.773851951379</v>
      </c>
      <c r="L113" s="13" t="n">
        <v>17.96488796336743</v>
      </c>
      <c r="N113" s="11" t="inlineStr">
        <is>
          <t>PAC (Brazil BRL)</t>
        </is>
      </c>
      <c r="O113" s="11" t="inlineStr">
        <is>
          <t>Brazilian factory PAC price (local Brazilian cost)</t>
        </is>
      </c>
    </row>
    <row r="114">
      <c r="A114" s="11" t="inlineStr">
        <is>
          <t>41A271471P24/38</t>
        </is>
      </c>
      <c r="B114" s="11" t="inlineStr">
        <is>
          <t>HPEAP DISCRETE CONNECTOR Backshell</t>
        </is>
      </c>
      <c r="C114" s="11" t="inlineStr">
        <is>
          <t>Controls (MCA, train control, er etc)</t>
        </is>
      </c>
      <c r="D114" s="11" t="inlineStr">
        <is>
          <t>Wiring</t>
        </is>
      </c>
      <c r="E114" s="11" t="n">
        <v>1</v>
      </c>
      <c r="F114" s="12" t="n">
        <v>1.9294</v>
      </c>
      <c r="G114" s="12" t="n">
        <v>3.107012068336</v>
      </c>
      <c r="H114" s="12" t="n">
        <v>3.890573589201102</v>
      </c>
      <c r="I114" s="12" t="n">
        <v>3.890573589201102</v>
      </c>
      <c r="J114" s="13" t="n">
        <v>16.03218227261376</v>
      </c>
      <c r="K114" s="13" t="n">
        <v>20.07535972027769</v>
      </c>
      <c r="N114" s="11" t="inlineStr">
        <is>
          <t>Imported BOM (USA)</t>
        </is>
      </c>
      <c r="O114" s="11" t="inlineStr">
        <is>
          <t>Calculated with TP (17.2%) + International Freight (15%) + Import Duty (16%) + Domestic Freight (3%) | Qtd=1.0</t>
        </is>
      </c>
    </row>
    <row r="115" ht="30" customHeight="1">
      <c r="A115" s="11" t="inlineStr">
        <is>
          <t>41A271471P24</t>
        </is>
      </c>
      <c r="B115" s="11" t="inlineStr">
        <is>
          <t>AMP, Cable Clamp Kit, Thermoplastic, Black, 17 Shell Size,</t>
        </is>
      </c>
      <c r="C115" s="11" t="inlineStr">
        <is>
          <t>SKID Assembly</t>
        </is>
      </c>
      <c r="D115" s="11" t="inlineStr">
        <is>
          <t>Controls (MCA, train control, er etc)</t>
        </is>
      </c>
      <c r="E115" s="11" t="n">
        <v>2</v>
      </c>
      <c r="G115" s="12" t="n">
        <v>6.151811397840532</v>
      </c>
      <c r="H115" s="12" t="n">
        <v>3.851622462960513</v>
      </c>
      <c r="I115" s="12" t="n">
        <v>7.703244925921027</v>
      </c>
      <c r="J115" s="13" t="n">
        <v>31.74334681285714</v>
      </c>
      <c r="K115" s="13" t="n">
        <v>39.7487438177525</v>
      </c>
      <c r="L115" s="13" t="n">
        <v>15.87167340642857</v>
      </c>
      <c r="N115" s="11" t="inlineStr">
        <is>
          <t>PAC (Brazil BRL)</t>
        </is>
      </c>
      <c r="O115" s="11" t="inlineStr">
        <is>
          <t>Brazilian factory PAC price (local Brazilian cost)</t>
        </is>
      </c>
    </row>
    <row r="116">
      <c r="A116" s="11" t="inlineStr">
        <is>
          <t>41A265616P52</t>
        </is>
      </c>
      <c r="B116" s="11" t="inlineStr">
        <is>
          <t>Ring Terminal</t>
        </is>
      </c>
      <c r="C116" s="11" t="inlineStr">
        <is>
          <t>Controls (MCA, train control, er etc)</t>
        </is>
      </c>
      <c r="D116" s="11" t="inlineStr">
        <is>
          <t>Wiring</t>
        </is>
      </c>
      <c r="E116" s="11" t="n">
        <v>4</v>
      </c>
      <c r="G116" s="12" t="n">
        <v>12.02038365135297</v>
      </c>
      <c r="H116" s="12" t="n">
        <v>3.762955062407016</v>
      </c>
      <c r="I116" s="12" t="n">
        <v>15.05182024962806</v>
      </c>
      <c r="J116" s="13" t="n">
        <v>62.02517964098133</v>
      </c>
      <c r="K116" s="13" t="n">
        <v>77.66739248808081</v>
      </c>
      <c r="L116" s="13" t="n">
        <v>15.50629491024533</v>
      </c>
      <c r="N116" s="11" t="inlineStr">
        <is>
          <t>PAC (Brazil BRL)</t>
        </is>
      </c>
      <c r="O116" s="11" t="inlineStr">
        <is>
          <t>Brazilian factory PAC price (local Brazilian cost)</t>
        </is>
      </c>
    </row>
    <row r="117">
      <c r="A117" s="11" t="inlineStr">
        <is>
          <t>41A271471P35</t>
        </is>
      </c>
      <c r="B117" s="11" t="inlineStr">
        <is>
          <t>CONNECTOR (24 SOCKET)</t>
        </is>
      </c>
      <c r="C117" s="11" t="inlineStr">
        <is>
          <t>Controls (MCA, train control, er etc)</t>
        </is>
      </c>
      <c r="D117" s="11" t="inlineStr">
        <is>
          <t>Wiring</t>
        </is>
      </c>
      <c r="E117" s="11" t="n">
        <v>1</v>
      </c>
      <c r="G117" s="12" t="n">
        <v>2.752597032913695</v>
      </c>
      <c r="H117" s="12" t="n">
        <v>3.446778152909711</v>
      </c>
      <c r="I117" s="12" t="n">
        <v>3.446778152909711</v>
      </c>
      <c r="J117" s="13" t="n">
        <v>14.20340068983467</v>
      </c>
      <c r="K117" s="13" t="n">
        <v>17.78537526901411</v>
      </c>
      <c r="L117" s="13" t="n">
        <v>14.20340068983467</v>
      </c>
      <c r="N117" s="11" t="inlineStr">
        <is>
          <t>PAC (Brazil BRL)</t>
        </is>
      </c>
      <c r="O117" s="11" t="inlineStr">
        <is>
          <t>Brazilian factory PAC price (local Brazilian cost)</t>
        </is>
      </c>
    </row>
    <row r="118" ht="30" customHeight="1">
      <c r="A118" s="11" t="inlineStr">
        <is>
          <t>41A271471P16</t>
        </is>
      </c>
      <c r="B118" s="11" t="inlineStr">
        <is>
          <t>SPEED SENSORS (1-3)/(4-6) CONNECTOR
(37 SOCKET)</t>
        </is>
      </c>
      <c r="C118" s="11" t="inlineStr">
        <is>
          <t>Controls (MCA, train control, er etc)</t>
        </is>
      </c>
      <c r="D118" s="11" t="inlineStr">
        <is>
          <t>Wiring</t>
        </is>
      </c>
      <c r="E118" s="11" t="n">
        <v>1</v>
      </c>
      <c r="G118" s="12" t="n">
        <v>2.543624750366279</v>
      </c>
      <c r="H118" s="12" t="n">
        <v>3.185104871482944</v>
      </c>
      <c r="I118" s="12" t="n">
        <v>3.185104871482944</v>
      </c>
      <c r="J118" s="13" t="n">
        <v>13.12510371189</v>
      </c>
      <c r="K118" s="13" t="n">
        <v>16.43514113685199</v>
      </c>
      <c r="L118" s="13" t="n">
        <v>13.12510371189</v>
      </c>
      <c r="N118" s="11" t="inlineStr">
        <is>
          <t>PAC (Brazil BRL)</t>
        </is>
      </c>
      <c r="O118" s="11" t="inlineStr">
        <is>
          <t>Brazilian factory PAC price (local Brazilian cost)</t>
        </is>
      </c>
    </row>
    <row r="119" ht="30" customHeight="1">
      <c r="A119" s="11" t="inlineStr">
        <is>
          <t>41A271471P22</t>
        </is>
      </c>
      <c r="B119" s="11" t="inlineStr">
        <is>
          <t>GROUND MEASURING MODULE
CONNECTOR</t>
        </is>
      </c>
      <c r="C119" s="11" t="inlineStr">
        <is>
          <t>Controls (MCA, train control, er etc)</t>
        </is>
      </c>
      <c r="D119" s="11" t="inlineStr">
        <is>
          <t>TRAIN CONTROL</t>
        </is>
      </c>
      <c r="E119" s="11" t="n">
        <v>1</v>
      </c>
      <c r="G119" s="12" t="n">
        <v>2.445463605656444</v>
      </c>
      <c r="H119" s="12" t="n">
        <v>3.062188336659709</v>
      </c>
      <c r="I119" s="12" t="n">
        <v>3.062188336659709</v>
      </c>
      <c r="J119" s="13" t="n">
        <v>12.61859220518725</v>
      </c>
      <c r="K119" s="13" t="n">
        <v>15.8008918171641</v>
      </c>
      <c r="L119" s="13" t="n">
        <v>12.61859220518725</v>
      </c>
      <c r="N119" s="11" t="inlineStr">
        <is>
          <t>PAC (Brazil BRL)</t>
        </is>
      </c>
      <c r="O119" s="11" t="inlineStr">
        <is>
          <t>Brazilian factory PAC price (local Brazilian cost)</t>
        </is>
      </c>
    </row>
    <row r="120">
      <c r="A120" s="11" t="inlineStr">
        <is>
          <t>41A271471P40</t>
        </is>
      </c>
      <c r="B120" s="11" t="inlineStr">
        <is>
          <t>TRAINLINE RESISTOR PANEL CONN BACKSHELL</t>
        </is>
      </c>
      <c r="C120" s="11" t="inlineStr">
        <is>
          <t>Controls (MCA, train control, er etc)</t>
        </is>
      </c>
      <c r="D120" s="11" t="inlineStr">
        <is>
          <t>Wiring</t>
        </is>
      </c>
      <c r="E120" s="11" t="n">
        <v>1</v>
      </c>
      <c r="G120" s="12" t="n">
        <v>2.426290605731288</v>
      </c>
      <c r="H120" s="12" t="n">
        <v>3.038180072290618</v>
      </c>
      <c r="I120" s="12" t="n">
        <v>3.038180072290618</v>
      </c>
      <c r="J120" s="13" t="n">
        <v>12.51965952557345</v>
      </c>
      <c r="K120" s="13" t="n">
        <v>15.67700917301959</v>
      </c>
      <c r="L120" s="13" t="n">
        <v>12.51965952557345</v>
      </c>
      <c r="N120" s="11" t="inlineStr">
        <is>
          <t>PAC (Brazil BRL)</t>
        </is>
      </c>
      <c r="O120" s="11" t="inlineStr">
        <is>
          <t>Brazilian factory PAC price (local Brazilian cost)</t>
        </is>
      </c>
    </row>
    <row r="121">
      <c r="A121" s="11" t="inlineStr">
        <is>
          <t>41A281695P1</t>
        </is>
      </c>
      <c r="B121" s="11" t="inlineStr">
        <is>
          <t>RESISTOR</t>
        </is>
      </c>
      <c r="C121" s="11" t="inlineStr">
        <is>
          <t>Controls (MCA, train control, er etc)</t>
        </is>
      </c>
      <c r="D121" s="11" t="inlineStr">
        <is>
          <t>TRAIN CONTROL</t>
        </is>
      </c>
      <c r="E121" s="11" t="n">
        <v>1</v>
      </c>
      <c r="G121" s="12" t="n">
        <v>1.909770652919864</v>
      </c>
      <c r="H121" s="12" t="n">
        <v>2.391398263110273</v>
      </c>
      <c r="I121" s="12" t="n">
        <v>2.391398263110273</v>
      </c>
      <c r="J121" s="13" t="n">
        <v>9.854416569066499</v>
      </c>
      <c r="K121" s="13" t="n">
        <v>12.33961503764901</v>
      </c>
      <c r="L121" s="13" t="n">
        <v>9.854416569066499</v>
      </c>
      <c r="N121" s="11" t="inlineStr">
        <is>
          <t>PAC (Brazil BRL)</t>
        </is>
      </c>
      <c r="O121" s="11" t="inlineStr">
        <is>
          <t>Brazilian factory PAC price (local Brazilian cost)</t>
        </is>
      </c>
    </row>
    <row r="122">
      <c r="A122" s="11" t="inlineStr">
        <is>
          <t>499A906AAP12</t>
        </is>
      </c>
      <c r="B122" s="11" t="inlineStr">
        <is>
          <t>NUT, HEX, NYLOCK, 8-32, GR5, Z</t>
        </is>
      </c>
      <c r="C122" s="11" t="inlineStr">
        <is>
          <t>SKID Assembly</t>
        </is>
      </c>
      <c r="D122" s="11" t="inlineStr">
        <is>
          <t>SKID (Skid)</t>
        </is>
      </c>
      <c r="E122" s="11" t="n">
        <v>14</v>
      </c>
      <c r="G122" s="12" t="n">
        <v>15.75586905029251</v>
      </c>
      <c r="H122" s="12" t="n">
        <v>1.409240192684744</v>
      </c>
      <c r="I122" s="12" t="n">
        <v>19.72936269758641</v>
      </c>
      <c r="J122" s="13" t="n">
        <v>81.30028429950934</v>
      </c>
      <c r="K122" s="13" t="n">
        <v>101.8035115195459</v>
      </c>
      <c r="L122" s="13" t="n">
        <v>5.807163164250667</v>
      </c>
      <c r="N122" s="11" t="inlineStr">
        <is>
          <t>PAC (Brazil BRL)</t>
        </is>
      </c>
      <c r="O122" s="11" t="inlineStr">
        <is>
          <t>Brazilian factory PAC price (local Brazilian cost)</t>
        </is>
      </c>
    </row>
    <row r="123">
      <c r="A123" s="11" t="inlineStr">
        <is>
          <t>41A216641AMP109</t>
        </is>
      </c>
      <c r="B123" s="11" t="inlineStr">
        <is>
          <t>Contact</t>
        </is>
      </c>
      <c r="C123" s="11" t="inlineStr">
        <is>
          <t>Controls (MCA, train control, er etc)</t>
        </is>
      </c>
      <c r="D123" s="11" t="inlineStr">
        <is>
          <t>Wiring</t>
        </is>
      </c>
      <c r="E123" s="11" t="n">
        <v>12</v>
      </c>
      <c r="G123" s="12" t="n">
        <v>12.72258572674419</v>
      </c>
      <c r="H123" s="12" t="n">
        <v>1.327592633644731</v>
      </c>
      <c r="I123" s="12" t="n">
        <v>15.93111160373677</v>
      </c>
      <c r="J123" s="13" t="n">
        <v>65.64854235</v>
      </c>
      <c r="K123" s="13" t="n">
        <v>82.20453587528175</v>
      </c>
      <c r="L123" s="13" t="n">
        <v>5.4707118625</v>
      </c>
      <c r="N123" s="11" t="inlineStr">
        <is>
          <t>PAC (Brazil BRL)</t>
        </is>
      </c>
      <c r="O123" s="11" t="inlineStr">
        <is>
          <t>Brazilian factory PAC price (local Brazilian cost)</t>
        </is>
      </c>
    </row>
    <row r="124">
      <c r="A124" s="11" t="inlineStr">
        <is>
          <t>482A444ASP48</t>
        </is>
      </c>
      <c r="B124" s="11" t="inlineStr">
        <is>
          <t>PTC PULL UP RESISTOR</t>
        </is>
      </c>
      <c r="C124" s="11" t="inlineStr">
        <is>
          <t>PTC</t>
        </is>
      </c>
      <c r="D124" s="11" t="inlineStr">
        <is>
          <t>PTC</t>
        </is>
      </c>
      <c r="E124" s="11" t="n">
        <v>1</v>
      </c>
      <c r="G124" s="12" t="n">
        <v>1.049927813953488</v>
      </c>
      <c r="H124" s="12" t="n">
        <v>1.314710510835823</v>
      </c>
      <c r="I124" s="12" t="n">
        <v>1.314710510835823</v>
      </c>
      <c r="J124" s="13" t="n">
        <v>5.41762752</v>
      </c>
      <c r="K124" s="13" t="n">
        <v>6.783906235912848</v>
      </c>
      <c r="L124" s="13" t="n">
        <v>5.41762752</v>
      </c>
      <c r="N124" s="11" t="inlineStr">
        <is>
          <t>PAC (Brazil BRL)</t>
        </is>
      </c>
      <c r="O124" s="11" t="inlineStr">
        <is>
          <t>Brazilian factory PAC price (local Brazilian cost)</t>
        </is>
      </c>
    </row>
    <row r="125">
      <c r="A125" s="11" t="inlineStr">
        <is>
          <t>41A296326AKP5</t>
        </is>
      </c>
      <c r="B125" s="11" t="inlineStr">
        <is>
          <t>Power Plug for the TCD</t>
        </is>
      </c>
      <c r="C125" s="11" t="inlineStr">
        <is>
          <t>Controls (MCA, train control, er etc)</t>
        </is>
      </c>
      <c r="D125" s="11" t="inlineStr">
        <is>
          <t>Wiring</t>
        </is>
      </c>
      <c r="E125" s="11" t="n">
        <v>1</v>
      </c>
      <c r="G125" s="12" t="n">
        <v>1.004585073869435</v>
      </c>
      <c r="H125" s="12" t="n">
        <v>1.257932724604853</v>
      </c>
      <c r="I125" s="12" t="n">
        <v>1.257932724604853</v>
      </c>
      <c r="J125" s="13" t="n">
        <v>5.183658981166286</v>
      </c>
      <c r="K125" s="13" t="n">
        <v>6.490932858961039</v>
      </c>
      <c r="L125" s="13" t="n">
        <v>5.183658981166286</v>
      </c>
      <c r="N125" s="11" t="inlineStr">
        <is>
          <t>PAC (Brazil BRL)</t>
        </is>
      </c>
      <c r="O125" s="11" t="inlineStr">
        <is>
          <t>Brazilian factory PAC price (local Brazilian cost)</t>
        </is>
      </c>
    </row>
    <row r="126">
      <c r="A126" s="11" t="inlineStr">
        <is>
          <t>41A265714P22</t>
        </is>
      </c>
      <c r="B126" s="11" t="inlineStr">
        <is>
          <t>SOCKET CONTACT, .75"</t>
        </is>
      </c>
      <c r="C126" s="11" t="inlineStr">
        <is>
          <t>Controls (MCA, train control, er etc)</t>
        </is>
      </c>
      <c r="D126" s="11" t="inlineStr">
        <is>
          <t>Wiring</t>
        </is>
      </c>
      <c r="E126" s="11" t="n">
        <v>109</v>
      </c>
      <c r="G126" s="12" t="n">
        <v>59.41035735938846</v>
      </c>
      <c r="H126" s="12" t="n">
        <v>0.6825058227975616</v>
      </c>
      <c r="I126" s="12" t="n">
        <v>74.39313468493421</v>
      </c>
      <c r="J126" s="13" t="n">
        <v>306.5574439744445</v>
      </c>
      <c r="K126" s="13" t="n">
        <v>383.8685749742605</v>
      </c>
      <c r="L126" s="13" t="n">
        <v>2.812453614444445</v>
      </c>
      <c r="N126" s="11" t="inlineStr">
        <is>
          <t>PAC (Brazil BRL)</t>
        </is>
      </c>
      <c r="O126" s="11" t="inlineStr">
        <is>
          <t>Brazilian factory PAC price (local Brazilian cost)</t>
        </is>
      </c>
    </row>
    <row r="127" ht="60" customHeight="1">
      <c r="A127" s="11" t="inlineStr">
        <is>
          <t>41A296326BUP3</t>
        </is>
      </c>
      <c r="B127" s="11" t="inlineStr">
        <is>
          <t>Contact for 14-18 AWG wire (41A296326AUP1),
insulation OD .110-.150, with
secondary locking type
connector plug</t>
        </is>
      </c>
      <c r="C127" s="11" t="inlineStr">
        <is>
          <t>Controls (MCA, train control, er etc)</t>
        </is>
      </c>
      <c r="D127" s="11" t="inlineStr">
        <is>
          <t>Wiring</t>
        </is>
      </c>
      <c r="E127" s="11" t="n">
        <v>9</v>
      </c>
      <c r="G127" s="12" t="n">
        <v>4.665316569505291</v>
      </c>
      <c r="H127" s="12" t="n">
        <v>0.6490965536223519</v>
      </c>
      <c r="I127" s="12" t="n">
        <v>5.841868982601166</v>
      </c>
      <c r="J127" s="13" t="n">
        <v>24.0730334986473</v>
      </c>
      <c r="K127" s="13" t="n">
        <v>30.14404395022202</v>
      </c>
      <c r="L127" s="13" t="n">
        <v>2.6747814998497</v>
      </c>
      <c r="N127" s="11" t="inlineStr">
        <is>
          <t>PAC (Brazil BRL)</t>
        </is>
      </c>
      <c r="O127" s="11" t="inlineStr">
        <is>
          <t>Brazilian factory PAC price (local Brazilian cost)</t>
        </is>
      </c>
    </row>
    <row r="128">
      <c r="A128" s="11" t="inlineStr">
        <is>
          <t>41A265713P22</t>
        </is>
      </c>
      <c r="B128" s="11" t="inlineStr">
        <is>
          <t>PIN</t>
        </is>
      </c>
      <c r="C128" s="11" t="inlineStr">
        <is>
          <t>Controls (MCA, train control, er etc)</t>
        </is>
      </c>
      <c r="D128" s="11" t="inlineStr">
        <is>
          <t>Wiring</t>
        </is>
      </c>
      <c r="E128" s="11" t="n">
        <v>82</v>
      </c>
      <c r="G128" s="12" t="n">
        <v>33.23489346152054</v>
      </c>
      <c r="H128" s="12" t="n">
        <v>0.5075176293501515</v>
      </c>
      <c r="I128" s="12" t="n">
        <v>41.61644560671242</v>
      </c>
      <c r="J128" s="13" t="n">
        <v>171.492050261446</v>
      </c>
      <c r="K128" s="13" t="n">
        <v>214.7408593306361</v>
      </c>
      <c r="L128" s="13" t="n">
        <v>2.091366466603</v>
      </c>
      <c r="N128" s="11" t="inlineStr">
        <is>
          <t>PAC (Brazil BRL)</t>
        </is>
      </c>
      <c r="O128" s="11" t="inlineStr">
        <is>
          <t>Brazilian factory PAC price (local Brazilian cost)</t>
        </is>
      </c>
    </row>
    <row r="129">
      <c r="A129" s="11" t="inlineStr">
        <is>
          <t>41A265714P12</t>
        </is>
      </c>
      <c r="B129" s="11" t="inlineStr">
        <is>
          <t>Contact, .4in</t>
        </is>
      </c>
      <c r="C129" s="11" t="inlineStr">
        <is>
          <t>Controls (MCA, train control, er etc)</t>
        </is>
      </c>
      <c r="D129" s="11" t="inlineStr">
        <is>
          <t>Wiring</t>
        </is>
      </c>
      <c r="E129" s="11" t="n">
        <v>4</v>
      </c>
      <c r="G129" s="12" t="n">
        <v>1.423506910944789</v>
      </c>
      <c r="H129" s="12" t="n">
        <v>0.4456257547410434</v>
      </c>
      <c r="I129" s="12" t="n">
        <v>1.782503018964174</v>
      </c>
      <c r="J129" s="13" t="n">
        <v>7.345295660475112</v>
      </c>
      <c r="K129" s="13" t="n">
        <v>9.197715577855137</v>
      </c>
      <c r="L129" s="13" t="n">
        <v>1.836323915118778</v>
      </c>
      <c r="N129" s="11" t="inlineStr">
        <is>
          <t>PAC (Brazil BRL)</t>
        </is>
      </c>
      <c r="O129" s="11" t="inlineStr">
        <is>
          <t>Brazilian factory PAC price (local Brazilian cost)</t>
        </is>
      </c>
    </row>
    <row r="130">
      <c r="A130" s="11" t="inlineStr">
        <is>
          <t>N80P15016B13</t>
        </is>
      </c>
      <c r="B130" s="11" t="inlineStr">
        <is>
          <t>SCREW, PHP, 8-32 X 1, GR5, Z</t>
        </is>
      </c>
      <c r="C130" s="11" t="inlineStr">
        <is>
          <t>SKID Assembly</t>
        </is>
      </c>
      <c r="D130" s="11" t="inlineStr">
        <is>
          <t>SKID (Skid)</t>
        </is>
      </c>
      <c r="E130" s="11" t="n">
        <v>16</v>
      </c>
      <c r="G130" s="12" t="n">
        <v>3.904029232536434</v>
      </c>
      <c r="H130" s="12" t="n">
        <v>0.3055369734955261</v>
      </c>
      <c r="I130" s="12" t="n">
        <v>4.888591575928418</v>
      </c>
      <c r="J130" s="13" t="n">
        <v>20.144790839888</v>
      </c>
      <c r="K130" s="13" t="n">
        <v>25.22513253179063</v>
      </c>
      <c r="L130" s="13" t="n">
        <v>1.259049427493</v>
      </c>
      <c r="N130" s="11" t="inlineStr">
        <is>
          <t>PAC (Brazil BRL)</t>
        </is>
      </c>
      <c r="O130" s="11" t="inlineStr">
        <is>
          <t>Brazilian factory PAC price (local Brazilian cost)</t>
        </is>
      </c>
    </row>
    <row r="131">
      <c r="A131" s="11" t="inlineStr">
        <is>
          <t>N402P8B13</t>
        </is>
      </c>
      <c r="B131" s="11" t="inlineStr">
        <is>
          <t>WASHER, FLAT, #8, GR5, Z</t>
        </is>
      </c>
      <c r="C131" s="11" t="inlineStr">
        <is>
          <t>SKID Assembly</t>
        </is>
      </c>
      <c r="D131" s="11" t="inlineStr">
        <is>
          <t>SKID (Skid)</t>
        </is>
      </c>
      <c r="E131" s="11" t="n">
        <v>16</v>
      </c>
      <c r="G131" s="12" t="n">
        <v>1.552125770698117</v>
      </c>
      <c r="H131" s="12" t="n">
        <v>0.1214724025402358</v>
      </c>
      <c r="I131" s="12" t="n">
        <v>1.943558440643773</v>
      </c>
      <c r="J131" s="13" t="n">
        <v>8.008968976802285</v>
      </c>
      <c r="K131" s="13" t="n">
        <v>10.02876155372187</v>
      </c>
      <c r="L131" s="13" t="n">
        <v>0.5005605610501428</v>
      </c>
      <c r="N131" s="11" t="inlineStr">
        <is>
          <t>PAC (Brazil BRL)</t>
        </is>
      </c>
      <c r="O131" s="11" t="inlineStr">
        <is>
          <t>Brazilian factory PAC price (local Brazilian cost)</t>
        </is>
      </c>
    </row>
    <row r="132">
      <c r="A132" s="11" t="inlineStr">
        <is>
          <t>499A906AAP2</t>
        </is>
      </c>
      <c r="B132" s="11" t="inlineStr">
        <is>
          <t>NUT, HEX, NYLOCK, 1/4-20, GR5, Z</t>
        </is>
      </c>
      <c r="C132" s="11" t="inlineStr">
        <is>
          <t>SKID Assembly</t>
        </is>
      </c>
      <c r="D132" s="11" t="inlineStr">
        <is>
          <t>SKID (Skid)</t>
        </is>
      </c>
      <c r="E132" s="11" t="n">
        <v>1</v>
      </c>
      <c r="G132" s="12" t="n">
        <v>0.07260975027623547</v>
      </c>
      <c r="H132" s="12" t="n">
        <v>0.09092130012050521</v>
      </c>
      <c r="I132" s="12" t="n">
        <v>0.09092130012050521</v>
      </c>
      <c r="J132" s="13" t="n">
        <v>0.374666311425375</v>
      </c>
      <c r="K132" s="13" t="n">
        <v>0.4691539086218069</v>
      </c>
      <c r="L132" s="13" t="n">
        <v>0.374666311425375</v>
      </c>
      <c r="N132" s="11" t="inlineStr">
        <is>
          <t>PAC (Brazil BRL)</t>
        </is>
      </c>
      <c r="O132" s="11" t="inlineStr">
        <is>
          <t>Brazilian factory PAC price (local Brazilian cost)</t>
        </is>
      </c>
    </row>
    <row r="133">
      <c r="A133" s="11" t="inlineStr">
        <is>
          <t>41A296326AMP52</t>
        </is>
      </c>
      <c r="B133" s="11" t="inlineStr">
        <is>
          <t>Crimp Type Contact Pin</t>
        </is>
      </c>
      <c r="C133" s="11" t="inlineStr">
        <is>
          <t>Controls (MCA, train control, er etc)</t>
        </is>
      </c>
      <c r="D133" s="11" t="inlineStr">
        <is>
          <t>Wiring</t>
        </is>
      </c>
      <c r="E133" s="11" t="n">
        <v>5</v>
      </c>
      <c r="G133" s="12" t="n">
        <v>0.2666678062713178</v>
      </c>
      <c r="H133" s="12" t="n">
        <v>0.06678382325853188</v>
      </c>
      <c r="I133" s="12" t="n">
        <v>0.3339191162926594</v>
      </c>
      <c r="J133" s="13" t="n">
        <v>1.37600588036</v>
      </c>
      <c r="K133" s="13" t="n">
        <v>1.723022640070123</v>
      </c>
      <c r="L133" s="13" t="n">
        <v>0.275201176072</v>
      </c>
      <c r="N133" s="11" t="inlineStr">
        <is>
          <t>PAC (Brazil BRL)</t>
        </is>
      </c>
      <c r="O133" s="11" t="inlineStr">
        <is>
          <t>Brazilian factory PAC price (local Brazilian cost)</t>
        </is>
      </c>
    </row>
    <row r="134">
      <c r="A134" s="11" t="inlineStr">
        <is>
          <t>41A296352DNP73</t>
        </is>
      </c>
      <c r="B134" s="11" t="inlineStr">
        <is>
          <t>CABLE: GROUND S TRAP</t>
        </is>
      </c>
      <c r="C134" s="11" t="inlineStr">
        <is>
          <t>Controls (MCA, train control, er etc)</t>
        </is>
      </c>
      <c r="D134" s="11" t="inlineStr">
        <is>
          <t>MCA</t>
        </is>
      </c>
      <c r="E134" s="11" t="n">
        <v>1</v>
      </c>
      <c r="F134" s="12" t="n">
        <v>0.01</v>
      </c>
      <c r="G134" s="12" t="n">
        <v>0.0161035144</v>
      </c>
      <c r="H134" s="12" t="n">
        <v>0.02016468119208615</v>
      </c>
      <c r="I134" s="12" t="n">
        <v>0.02016468119208615</v>
      </c>
      <c r="J134" s="13" t="n">
        <v>0.08309413430399999</v>
      </c>
      <c r="K134" s="13" t="n">
        <v>0.1040497549511645</v>
      </c>
      <c r="N134" s="11" t="inlineStr">
        <is>
          <t>Imported BOM (USA)</t>
        </is>
      </c>
      <c r="O134" s="11" t="inlineStr">
        <is>
          <t>Calculated with TP (17.2%) + International Freight (15%) + Import Duty (16%) + Domestic Freight (3%) | Qtd=1.0</t>
        </is>
      </c>
    </row>
    <row r="135">
      <c r="A135" s="11" t="inlineStr">
        <is>
          <t>41A296352DNP96</t>
        </is>
      </c>
      <c r="B135" s="11" t="inlineStr">
        <is>
          <t>Cable: CRM Ethernet Switch to ACC</t>
        </is>
      </c>
      <c r="C135" s="11" t="inlineStr">
        <is>
          <t>Controls (MCA, train control, er etc)</t>
        </is>
      </c>
      <c r="D135" s="11" t="inlineStr">
        <is>
          <t>MCA</t>
        </is>
      </c>
      <c r="E135" s="11" t="n">
        <v>1</v>
      </c>
      <c r="F135" s="12" t="n">
        <v>0.01</v>
      </c>
      <c r="G135" s="12" t="n">
        <v>0.0161035144</v>
      </c>
      <c r="H135" s="12" t="n">
        <v>0.02016468119208615</v>
      </c>
      <c r="I135" s="12" t="n">
        <v>0.02016468119208615</v>
      </c>
      <c r="J135" s="13" t="n">
        <v>0.08309413430399999</v>
      </c>
      <c r="K135" s="13" t="n">
        <v>0.1040497549511645</v>
      </c>
      <c r="N135" s="11" t="inlineStr">
        <is>
          <t>Imported BOM (USA)</t>
        </is>
      </c>
      <c r="O135" s="11" t="inlineStr">
        <is>
          <t>Calculated with TP (17.2%) + International Freight (15%) + Import Duty (16%) + Domestic Freight (3%) | Qtd=1.0</t>
        </is>
      </c>
    </row>
    <row r="136">
      <c r="A136" s="11" t="inlineStr">
        <is>
          <t>41A296352DNP57</t>
        </is>
      </c>
      <c r="B136" s="11" t="inlineStr">
        <is>
          <t>REMOTE HEAD - VOICE RADIO RITRON</t>
        </is>
      </c>
      <c r="C136" s="11" t="inlineStr">
        <is>
          <t>Connectivity</t>
        </is>
      </c>
      <c r="D136" s="11" t="inlineStr">
        <is>
          <t>VOICE RADIO</t>
        </is>
      </c>
      <c r="E136" s="11" t="n">
        <v>1</v>
      </c>
      <c r="G136" s="12" t="n">
        <v>0</v>
      </c>
      <c r="H136" s="12" t="n">
        <v>0</v>
      </c>
      <c r="I136" s="12" t="n">
        <v>0</v>
      </c>
      <c r="J136" s="13" t="n">
        <v>0</v>
      </c>
      <c r="K136" s="13" t="n">
        <v>0</v>
      </c>
      <c r="N136" s="11" t="inlineStr">
        <is>
          <t>INCLUDED / NO COST</t>
        </is>
      </c>
      <c r="O136" s="11" t="inlineStr">
        <is>
          <t>Item included in the master kit or with no additional cost</t>
        </is>
      </c>
    </row>
    <row r="137">
      <c r="B137" s="11" t="inlineStr">
        <is>
          <t>Ditchlight Control Box (SMART BOX-V3-DLC )</t>
        </is>
      </c>
      <c r="C137" s="11" t="inlineStr">
        <is>
          <t>Controls (MCA, train control, er etc)</t>
        </is>
      </c>
      <c r="D137" s="11" t="inlineStr">
        <is>
          <t>TRAIN CONTROL</t>
        </is>
      </c>
      <c r="E137" s="11" t="n">
        <v>1</v>
      </c>
      <c r="N137" s="11" t="inlineStr">
        <is>
          <t>MISSING</t>
        </is>
      </c>
      <c r="O137" s="11" t="inlineStr">
        <is>
          <t>Quotation pending (no USD or BRL price)</t>
        </is>
      </c>
    </row>
    <row r="138">
      <c r="B138" s="11" t="inlineStr">
        <is>
          <t>LED Ditch Light</t>
        </is>
      </c>
      <c r="C138" s="11" t="inlineStr">
        <is>
          <t>Controls (MCA, train control, er etc)</t>
        </is>
      </c>
      <c r="D138" s="11" t="inlineStr">
        <is>
          <t>TRAIN CONTROL</t>
        </is>
      </c>
      <c r="E138" s="11" t="n">
        <v>1</v>
      </c>
      <c r="N138" s="11" t="inlineStr">
        <is>
          <t>MISSING</t>
        </is>
      </c>
      <c r="O138" s="11" t="inlineStr">
        <is>
          <t>Quotation pending (no USD or BRL price)</t>
        </is>
      </c>
    </row>
    <row r="139">
      <c r="A139" s="11" t="inlineStr">
        <is>
          <t>41A296326CYP77</t>
        </is>
      </c>
      <c r="B139" s="11" t="inlineStr">
        <is>
          <t>M12-A_ MALE_ 8-PIN_ STRAIGHT BSH</t>
        </is>
      </c>
      <c r="C139" s="11" t="inlineStr">
        <is>
          <t>SKID Assembly</t>
        </is>
      </c>
      <c r="D139" s="11" t="inlineStr">
        <is>
          <t>SKID (Skid)</t>
        </is>
      </c>
      <c r="E139" s="11" t="n">
        <v>16</v>
      </c>
      <c r="N139" s="11" t="inlineStr">
        <is>
          <t>MISSING</t>
        </is>
      </c>
      <c r="O139" s="11" t="inlineStr">
        <is>
          <t>Quotation pending (no USD or BRL price)</t>
        </is>
      </c>
    </row>
    <row r="140">
      <c r="A140" s="11" t="inlineStr">
        <is>
          <t>41A296352PTP272</t>
        </is>
      </c>
      <c r="B140" s="11" t="inlineStr">
        <is>
          <t>BC-PRECISION NAVIGATION MODULE</t>
        </is>
      </c>
      <c r="C140" s="11" t="inlineStr">
        <is>
          <t>SKID Assembly</t>
        </is>
      </c>
      <c r="D140" s="11" t="inlineStr">
        <is>
          <t>SKID (Skid)</t>
        </is>
      </c>
      <c r="E140" s="11" t="n">
        <v>2</v>
      </c>
      <c r="N140" s="11" t="inlineStr">
        <is>
          <t>MISSING</t>
        </is>
      </c>
      <c r="O140" s="11" t="inlineStr">
        <is>
          <t>Quotation pending (no USD or BRL price)</t>
        </is>
      </c>
    </row>
    <row r="141">
      <c r="A141" s="11" t="inlineStr">
        <is>
          <t>41A296352PTP58</t>
        </is>
      </c>
      <c r="B141" s="11" t="inlineStr">
        <is>
          <t>AY-DISPLAY CSX PTC DISPLAY</t>
        </is>
      </c>
      <c r="C141" s="11" t="inlineStr">
        <is>
          <t>SKID Assembly</t>
        </is>
      </c>
      <c r="D141" s="11" t="inlineStr">
        <is>
          <t>SKID (Skid)</t>
        </is>
      </c>
      <c r="E141" s="11" t="n">
        <v>1</v>
      </c>
      <c r="N141" s="11" t="inlineStr">
        <is>
          <t>MISSING</t>
        </is>
      </c>
      <c r="O141" s="11" t="inlineStr">
        <is>
          <t>Quotation pending (no USD or BRL price)</t>
        </is>
      </c>
    </row>
    <row r="142">
      <c r="A142" s="11" t="inlineStr">
        <is>
          <t>41A296352PTP292</t>
        </is>
      </c>
      <c r="B142" s="11" t="inlineStr">
        <is>
          <t>AX-POWER SUPPLY 13.6 V</t>
        </is>
      </c>
      <c r="C142" s="11" t="inlineStr">
        <is>
          <t>SKID Assembly</t>
        </is>
      </c>
      <c r="D142" s="11" t="inlineStr">
        <is>
          <t>SKID (Skid)</t>
        </is>
      </c>
      <c r="E142" s="11" t="n">
        <v>1</v>
      </c>
      <c r="N142" s="11" t="inlineStr">
        <is>
          <t>MISSING</t>
        </is>
      </c>
      <c r="O142" s="11" t="inlineStr">
        <is>
          <t>Quotation pending (no USD or BRL price)</t>
        </is>
      </c>
    </row>
    <row r="143">
      <c r="A143" s="11" t="inlineStr">
        <is>
          <t>MODEM ATT</t>
        </is>
      </c>
      <c r="B143" s="11" t="inlineStr">
        <is>
          <t>MODEM ATT</t>
        </is>
      </c>
      <c r="C143" s="11" t="inlineStr">
        <is>
          <t>SKID Assembly</t>
        </is>
      </c>
      <c r="D143" s="11" t="inlineStr">
        <is>
          <t>SKID (Skid)</t>
        </is>
      </c>
      <c r="E143" s="11" t="n">
        <v>3</v>
      </c>
      <c r="N143" s="11" t="inlineStr">
        <is>
          <t>MISSING</t>
        </is>
      </c>
      <c r="O143" s="11" t="inlineStr">
        <is>
          <t>Quotation pending (no USD or BRL price)</t>
        </is>
      </c>
    </row>
    <row r="144" ht="30" customHeight="1">
      <c r="A144" s="11" t="inlineStr">
        <is>
          <t>84A237085AJP1</t>
        </is>
      </c>
      <c r="B144" s="11" t="inlineStr">
        <is>
          <t>C-GoLIN EP_3 SMA_M2 CELL MODEM</t>
        </is>
      </c>
      <c r="C144" s="11" t="inlineStr">
        <is>
          <t>SKID Assembly</t>
        </is>
      </c>
      <c r="D144" s="11" t="inlineStr">
        <is>
          <t>Controls (MCA, train control, er etc)</t>
        </is>
      </c>
      <c r="E144" s="11" t="n">
        <v>1</v>
      </c>
      <c r="N144" s="11" t="inlineStr">
        <is>
          <t>MISSING</t>
        </is>
      </c>
      <c r="O144" s="11" t="inlineStr">
        <is>
          <t>Quotation pending (no USD or BRL price)</t>
        </is>
      </c>
    </row>
    <row r="145">
      <c r="A145" s="11" t="inlineStr">
        <is>
          <t>17FL400B</t>
        </is>
      </c>
      <c r="B145" s="11" t="inlineStr">
        <is>
          <t>ST-DEVELOPER v19.4</t>
        </is>
      </c>
      <c r="C145" s="11" t="inlineStr">
        <is>
          <t>SKID Assembly</t>
        </is>
      </c>
      <c r="D145" s="11" t="inlineStr">
        <is>
          <t>SKID (Skid)</t>
        </is>
      </c>
      <c r="E145" s="11" t="n">
        <v>1</v>
      </c>
      <c r="N145" s="11" t="inlineStr">
        <is>
          <t>MISSING</t>
        </is>
      </c>
      <c r="O145" s="11" t="inlineStr">
        <is>
          <t>Quotation pending (no USD or BRL price)</t>
        </is>
      </c>
    </row>
    <row r="146">
      <c r="A146" s="11" t="inlineStr">
        <is>
          <t>17FL519A1</t>
        </is>
      </c>
      <c r="B146" s="11" t="inlineStr">
        <is>
          <t>TMC PANEL</t>
        </is>
      </c>
      <c r="C146" s="11" t="inlineStr">
        <is>
          <t>SKID Assembly</t>
        </is>
      </c>
      <c r="D146" s="11" t="inlineStr">
        <is>
          <t>SKID (Skid)</t>
        </is>
      </c>
      <c r="E146" s="11" t="n">
        <v>1</v>
      </c>
      <c r="N146" s="11" t="inlineStr">
        <is>
          <t>MISSING</t>
        </is>
      </c>
      <c r="O146" s="11" t="inlineStr">
        <is>
          <t>Quotation pending (no USD or BRL price)</t>
        </is>
      </c>
    </row>
    <row r="147">
      <c r="A147" s="11" t="inlineStr">
        <is>
          <t>41A296352CMP448</t>
        </is>
      </c>
      <c r="B147" s="11" t="inlineStr">
        <is>
          <t>FB-DIGITAL RADIO MODULE</t>
        </is>
      </c>
      <c r="C147" s="11" t="inlineStr">
        <is>
          <t>SKID Assembly</t>
        </is>
      </c>
      <c r="D147" s="11" t="inlineStr">
        <is>
          <t>SKID (Skid)</t>
        </is>
      </c>
      <c r="E147" s="11" t="n">
        <v>1</v>
      </c>
      <c r="N147" s="11" t="inlineStr">
        <is>
          <t>MISSING</t>
        </is>
      </c>
      <c r="O147" s="11" t="inlineStr">
        <is>
          <t>Quotation pending (no USD or BRL price)</t>
        </is>
      </c>
    </row>
    <row r="148">
      <c r="A148" s="11" t="inlineStr">
        <is>
          <t>41A296352PTP326</t>
        </is>
      </c>
      <c r="B148" s="11" t="inlineStr">
        <is>
          <t>BH-WABTEC TRAIN MANAGEMENT COMPUTER _WTMC_</t>
        </is>
      </c>
      <c r="C148" s="11" t="inlineStr">
        <is>
          <t>SKID Assembly</t>
        </is>
      </c>
      <c r="D148" s="11" t="inlineStr">
        <is>
          <t>SKID (Skid)</t>
        </is>
      </c>
      <c r="E148" s="11" t="n">
        <v>1</v>
      </c>
      <c r="N148" s="11" t="inlineStr">
        <is>
          <t>MISSING</t>
        </is>
      </c>
      <c r="O148" s="11" t="inlineStr">
        <is>
          <t>Quotation pending (no USD or BRL price)</t>
        </is>
      </c>
    </row>
    <row r="149">
      <c r="A149" s="11" t="inlineStr">
        <is>
          <t>17FM711C3</t>
        </is>
      </c>
      <c r="B149" s="11" t="inlineStr">
        <is>
          <t>H-PANEL DBM</t>
        </is>
      </c>
      <c r="C149" s="11" t="inlineStr">
        <is>
          <t>SKID Assembly</t>
        </is>
      </c>
      <c r="D149" s="11" t="inlineStr">
        <is>
          <t>SKID (Skid)</t>
        </is>
      </c>
      <c r="E149" s="11" t="n">
        <v>1</v>
      </c>
      <c r="N149" s="11" t="inlineStr">
        <is>
          <t>MISSING</t>
        </is>
      </c>
      <c r="O149" s="11" t="inlineStr">
        <is>
          <t>Quotation pending (no USD or BRL price)</t>
        </is>
      </c>
    </row>
    <row r="150">
      <c r="A150" s="11" t="inlineStr">
        <is>
          <t>41A296352BCP9</t>
        </is>
      </c>
      <c r="B150" s="11" t="inlineStr">
        <is>
          <t>N-HEAD OF TRAIN DEVICE</t>
        </is>
      </c>
      <c r="C150" s="11" t="inlineStr">
        <is>
          <t>SKID Assembly</t>
        </is>
      </c>
      <c r="D150" s="11" t="inlineStr">
        <is>
          <t>SKID (Skid)</t>
        </is>
      </c>
      <c r="E150" s="11" t="n">
        <v>1</v>
      </c>
      <c r="N150" s="11" t="inlineStr">
        <is>
          <t>MISSING</t>
        </is>
      </c>
      <c r="O150" s="11" t="inlineStr">
        <is>
          <t>Quotation pending (no USD or BRL price)</t>
        </is>
      </c>
    </row>
    <row r="151">
      <c r="A151" s="11" t="inlineStr">
        <is>
          <t>17FM839A3</t>
        </is>
      </c>
      <c r="B151" s="11" t="inlineStr">
        <is>
          <t>TCD (Thin Client Display)</t>
        </is>
      </c>
      <c r="C151" s="11" t="inlineStr">
        <is>
          <t>SKID Assembly</t>
        </is>
      </c>
      <c r="D151" s="11" t="inlineStr">
        <is>
          <t>SKID (Skid)</t>
        </is>
      </c>
      <c r="E151" s="11" t="n">
        <v>1</v>
      </c>
      <c r="N151" s="11" t="inlineStr">
        <is>
          <t>MISSING</t>
        </is>
      </c>
      <c r="O151" s="11" t="inlineStr">
        <is>
          <t>Quotation pending (no USD or BRL price)</t>
        </is>
      </c>
    </row>
    <row r="152">
      <c r="A152" s="11" t="inlineStr">
        <is>
          <t>84A201850P17</t>
        </is>
      </c>
      <c r="B152" s="11" t="inlineStr">
        <is>
          <t>SWITCH - AC</t>
        </is>
      </c>
      <c r="C152" s="11" t="inlineStr">
        <is>
          <t>SKID Assembly</t>
        </is>
      </c>
      <c r="D152" s="11" t="inlineStr">
        <is>
          <t>SKID (Skid)</t>
        </is>
      </c>
      <c r="E152" s="11" t="n">
        <v>2</v>
      </c>
      <c r="N152" s="11" t="inlineStr">
        <is>
          <t>MISSING</t>
        </is>
      </c>
      <c r="O152" s="11" t="inlineStr">
        <is>
          <t>Quotation pending (no USD or BRL price)</t>
        </is>
      </c>
    </row>
    <row r="153">
      <c r="A153" s="11" t="inlineStr">
        <is>
          <t>RL-1033772</t>
        </is>
      </c>
      <c r="B153" s="11" t="inlineStr">
        <is>
          <t>ASSEMBLY, RELAY BOARD</t>
        </is>
      </c>
      <c r="C153" s="11" t="inlineStr">
        <is>
          <t>SKID Assembly</t>
        </is>
      </c>
      <c r="D153" s="11" t="inlineStr">
        <is>
          <t>SKID (Skid)</t>
        </is>
      </c>
      <c r="E153" s="11" t="n">
        <v>1</v>
      </c>
      <c r="N153" s="11" t="inlineStr">
        <is>
          <t>MISSING</t>
        </is>
      </c>
      <c r="O153" s="11" t="inlineStr">
        <is>
          <t>Quotation pending (no USD or BRL price)</t>
        </is>
      </c>
    </row>
    <row r="154">
      <c r="A154" s="11" t="inlineStr">
        <is>
          <t>41B549523ADP15</t>
        </is>
      </c>
      <c r="B154" s="11" t="inlineStr">
        <is>
          <t>SWITCH PUSH BUTTON</t>
        </is>
      </c>
      <c r="C154" s="11" t="inlineStr">
        <is>
          <t>SKID Assembly</t>
        </is>
      </c>
      <c r="D154" s="11" t="inlineStr">
        <is>
          <t>SKID (Skid)</t>
        </is>
      </c>
      <c r="E154" s="11" t="n">
        <v>2</v>
      </c>
      <c r="N154" s="11" t="inlineStr">
        <is>
          <t>MISSING</t>
        </is>
      </c>
      <c r="O154" s="11" t="inlineStr">
        <is>
          <t>Quotation pending (no USD or BRL price)</t>
        </is>
      </c>
    </row>
    <row r="155">
      <c r="A155" s="11" t="inlineStr">
        <is>
          <t>BAP900F</t>
        </is>
      </c>
      <c r="B155" s="11" t="inlineStr">
        <is>
          <t>CONVERTER/CHARGER DC/DC 74/72-F4WTSA</t>
        </is>
      </c>
      <c r="C155" s="11" t="inlineStr">
        <is>
          <t>SKID Assembly</t>
        </is>
      </c>
      <c r="D155" s="11" t="inlineStr">
        <is>
          <t>SKID (Skid)</t>
        </is>
      </c>
      <c r="E155" s="11" t="n">
        <v>3</v>
      </c>
      <c r="N155" s="11" t="inlineStr">
        <is>
          <t>MISSING</t>
        </is>
      </c>
      <c r="O155" s="11" t="inlineStr">
        <is>
          <t>Quotation pending (no USD or BRL price)</t>
        </is>
      </c>
    </row>
    <row r="156">
      <c r="A156" s="11" t="inlineStr">
        <is>
          <t>41A296352PTP360</t>
        </is>
      </c>
      <c r="B156" s="11" t="inlineStr">
        <is>
          <t>_BB-CUT-OUT SWITCH CABINET</t>
        </is>
      </c>
      <c r="C156" s="11" t="inlineStr">
        <is>
          <t>SKID Assembly</t>
        </is>
      </c>
      <c r="D156" s="11" t="inlineStr">
        <is>
          <t>SKID (Skid)</t>
        </is>
      </c>
      <c r="E156" s="11" t="n">
        <v>1</v>
      </c>
      <c r="N156" s="11" t="inlineStr">
        <is>
          <t>MISSING</t>
        </is>
      </c>
      <c r="O156" s="11" t="inlineStr">
        <is>
          <t>Quotation pending (no USD or BRL price)</t>
        </is>
      </c>
    </row>
    <row r="157">
      <c r="A157" s="11" t="inlineStr">
        <is>
          <t>N265P21B</t>
        </is>
      </c>
      <c r="B157" s="11" t="inlineStr">
        <is>
          <t>NUT, HEX, LOCK, 1/4-20, GR5, Z</t>
        </is>
      </c>
      <c r="C157" s="11" t="inlineStr">
        <is>
          <t>SKID Assembly</t>
        </is>
      </c>
      <c r="D157" s="11" t="inlineStr">
        <is>
          <t>SKID (Skid)</t>
        </is>
      </c>
      <c r="E157" s="11" t="n">
        <v>1</v>
      </c>
      <c r="N157" s="11" t="inlineStr">
        <is>
          <t>MISSING</t>
        </is>
      </c>
      <c r="O157" s="11" t="inlineStr">
        <is>
          <t>Quotation pending (no USD or BRL price)</t>
        </is>
      </c>
    </row>
    <row r="158">
      <c r="A158" s="11" t="inlineStr">
        <is>
          <t>N647AP21012B</t>
        </is>
      </c>
      <c r="B158" s="11" t="inlineStr">
        <is>
          <t>BOLT, BHCS, 1/4"-20 X 3/4", 18-8</t>
        </is>
      </c>
      <c r="C158" s="11" t="inlineStr">
        <is>
          <t>SKID Assembly</t>
        </is>
      </c>
      <c r="D158" s="11" t="inlineStr">
        <is>
          <t>SKID (Skid)</t>
        </is>
      </c>
      <c r="E158" s="11" t="n">
        <v>17</v>
      </c>
      <c r="N158" s="11" t="inlineStr">
        <is>
          <t>MISSING</t>
        </is>
      </c>
      <c r="O158" s="11" t="inlineStr">
        <is>
          <t>Quotation pending (no USD or BRL price)</t>
        </is>
      </c>
    </row>
    <row r="159">
      <c r="A159" s="11" t="inlineStr">
        <is>
          <t>1009634-901</t>
        </is>
      </c>
      <c r="B159" s="11" t="inlineStr">
        <is>
          <t>SFM 701x Smart Fan Module</t>
        </is>
      </c>
      <c r="C159" s="11" t="inlineStr">
        <is>
          <t>SKID Assembly</t>
        </is>
      </c>
      <c r="D159" s="11" t="inlineStr">
        <is>
          <t>bottom on ACC</t>
        </is>
      </c>
      <c r="E159" s="11" t="n">
        <v>3</v>
      </c>
      <c r="N159" s="11" t="inlineStr">
        <is>
          <t>MISSING</t>
        </is>
      </c>
      <c r="O159" s="11" t="inlineStr">
        <is>
          <t>Quotation pending (no USD or BRL price)</t>
        </is>
      </c>
    </row>
    <row r="160" ht="30" customHeight="1">
      <c r="A160" s="11" t="inlineStr">
        <is>
          <t>401581-100</t>
        </is>
      </c>
      <c r="B160" s="11" t="inlineStr">
        <is>
          <t>SFPIM 703x 15v Smart Fan Module</t>
        </is>
      </c>
      <c r="C160" s="11" t="inlineStr">
        <is>
          <t>SKID Assembly</t>
        </is>
      </c>
      <c r="D160" s="11" t="inlineStr">
        <is>
          <t>41A296352VHP1_E-GEW</t>
        </is>
      </c>
      <c r="E160" s="11" t="n">
        <v>2</v>
      </c>
      <c r="N160" s="11" t="inlineStr">
        <is>
          <t>MISSING</t>
        </is>
      </c>
      <c r="O160" s="11" t="inlineStr">
        <is>
          <t>Quotation pending (no USD or BRL price)</t>
        </is>
      </c>
    </row>
    <row r="161">
      <c r="A161" s="11" t="inlineStr">
        <is>
          <t>PTC-FILT-NB-160-MIL-U</t>
        </is>
      </c>
      <c r="B161" s="11" t="inlineStr">
        <is>
          <t>160 MHz PTC Filter</t>
        </is>
      </c>
      <c r="C161" s="11" t="inlineStr">
        <is>
          <t>SKID Assembly</t>
        </is>
      </c>
      <c r="D161" s="11" t="inlineStr">
        <is>
          <t>later</t>
        </is>
      </c>
      <c r="E161" s="11" t="n">
        <v>1</v>
      </c>
      <c r="N161" s="11" t="inlineStr">
        <is>
          <t>MISSING</t>
        </is>
      </c>
      <c r="O161" s="11" t="inlineStr">
        <is>
          <t>Quotation pending (no USD or BRL price)</t>
        </is>
      </c>
    </row>
    <row r="162">
      <c r="A162" s="11" t="inlineStr">
        <is>
          <t>PTC-FILT-NB-220-MIL-MF</t>
        </is>
      </c>
      <c r="B162" s="11" t="inlineStr">
        <is>
          <t>220 Mhz PTC FILTER</t>
        </is>
      </c>
      <c r="C162" s="11" t="inlineStr">
        <is>
          <t>SKID Assembly</t>
        </is>
      </c>
      <c r="D162" s="11" t="inlineStr">
        <is>
          <t>later</t>
        </is>
      </c>
      <c r="E162" s="11" t="n">
        <v>2</v>
      </c>
      <c r="N162" s="11" t="inlineStr">
        <is>
          <t>MISSING</t>
        </is>
      </c>
      <c r="O162" s="11" t="inlineStr">
        <is>
          <t>Quotation pending (no USD or BRL price)</t>
        </is>
      </c>
    </row>
    <row r="163">
      <c r="B163" s="11" t="inlineStr">
        <is>
          <t>PTC Junction Box</t>
        </is>
      </c>
      <c r="C163" s="11" t="inlineStr">
        <is>
          <t>SKID Assembly</t>
        </is>
      </c>
      <c r="D163" s="11" t="inlineStr">
        <is>
          <t>SKID (Skid)</t>
        </is>
      </c>
      <c r="E163" s="11" t="n">
        <v>1</v>
      </c>
      <c r="N163" s="11" t="inlineStr">
        <is>
          <t>MISSING</t>
        </is>
      </c>
      <c r="O163" s="11" t="inlineStr">
        <is>
          <t>Quotation pending (no USD or BRL price)</t>
        </is>
      </c>
    </row>
    <row r="164">
      <c r="A164" s="11" t="inlineStr">
        <is>
          <t>41A296352LUP15</t>
        </is>
      </c>
      <c r="B164" s="11" t="inlineStr">
        <is>
          <t>455 MHz Antenna (DPA, DPB, EOT )</t>
        </is>
      </c>
      <c r="C164" s="11" t="inlineStr">
        <is>
          <t>SKID Assembly</t>
        </is>
      </c>
      <c r="D164" s="11" t="inlineStr">
        <is>
          <t>SKID (Skid)</t>
        </is>
      </c>
      <c r="E164" s="11" t="n">
        <v>3</v>
      </c>
      <c r="N164" s="11" t="inlineStr">
        <is>
          <t>MISSING</t>
        </is>
      </c>
      <c r="O164" s="11" t="inlineStr">
        <is>
          <t>Quotation pending (no USD or BRL price)</t>
        </is>
      </c>
    </row>
    <row r="165">
      <c r="A165" s="11" t="inlineStr">
        <is>
          <t>84D749224G1</t>
        </is>
      </c>
      <c r="B165" s="11" t="inlineStr">
        <is>
          <t>Power resistor</t>
        </is>
      </c>
      <c r="C165" s="11" t="inlineStr">
        <is>
          <t>SKID Assembly</t>
        </is>
      </c>
      <c r="D165" s="11" t="inlineStr">
        <is>
          <t>Battery Skid?</t>
        </is>
      </c>
      <c r="E165" s="11" t="n">
        <v>1</v>
      </c>
      <c r="N165" s="11" t="inlineStr">
        <is>
          <t>MISSING</t>
        </is>
      </c>
      <c r="O165" s="11" t="inlineStr">
        <is>
          <t>Quotation pending (no USD or BRL price)</t>
        </is>
      </c>
    </row>
  </sheetData>
  <autoFilter ref="A1:O165">
    <sortState ref="A2:O165">
      <sortCondition descending="1" ref="H1:H165"/>
    </sortState>
  </autoFilter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  <col width="19" customWidth="1" min="3" max="3"/>
    <col width="28" customWidth="1" min="4" max="4"/>
    <col width="42" customWidth="1" min="5" max="6"/>
    <col width="77" customWidth="1" min="7" max="7"/>
  </cols>
  <sheetData>
    <row r="1">
      <c r="A1" s="3" t="inlineStr">
        <is>
          <t>GDT Category</t>
        </is>
      </c>
      <c r="B1" s="3" t="inlineStr">
        <is>
          <t>Item / Service or Material Description</t>
        </is>
      </c>
      <c r="C1" s="3" t="inlineStr">
        <is>
          <t>Direct Cost BRL</t>
        </is>
      </c>
      <c r="D1" s="3" t="inlineStr">
        <is>
          <t>Direct Cost USD (@ 5.16)</t>
        </is>
      </c>
      <c r="E1" s="3" t="inlineStr">
        <is>
          <t>Gross Price BRL (Including PIS/COFINS and ICMS)</t>
        </is>
      </c>
      <c r="F1" s="3" t="inlineStr">
        <is>
          <t>Gross Price USD (Including PIS/COFINS and ICMS)</t>
        </is>
      </c>
      <c r="G1" s="3" t="inlineStr">
        <is>
          <t>Notes / Calculation Details</t>
        </is>
      </c>
    </row>
    <row r="2">
      <c r="A2" t="inlineStr">
        <is>
          <t>Integration / Container Materials</t>
        </is>
      </c>
      <c r="B2" t="inlineStr">
        <is>
          <t>Container + Contaminant Report</t>
        </is>
      </c>
      <c r="C2" s="4" t="n">
        <v>70000</v>
      </c>
      <c r="D2" s="5" t="n">
        <v>13565.89147286822</v>
      </c>
      <c r="E2" s="4" t="n">
        <v>87653.39343851741</v>
      </c>
      <c r="F2" s="5" t="n">
        <v>16987.09175165066</v>
      </c>
      <c r="G2" t="inlineStr">
        <is>
          <t>Não incluso transporte do container</t>
        </is>
      </c>
    </row>
    <row r="3">
      <c r="A3" t="inlineStr">
        <is>
          <t>Integration / Container Materials</t>
        </is>
      </c>
      <c r="B3" t="inlineStr">
        <is>
          <t>Pneumatics (tubulações, 14un mangueiras, 30un torneiras, conexões)</t>
        </is>
      </c>
      <c r="C3" s="4" t="n">
        <v>25000</v>
      </c>
      <c r="D3" s="5" t="n">
        <v>4844.961240310077</v>
      </c>
      <c r="E3" s="4" t="n">
        <v>31304.78337089907</v>
      </c>
      <c r="F3" s="5" t="n">
        <v>6066.818482732378</v>
      </c>
      <c r="G3" t="inlineStr">
        <is>
          <t>Conexões pneumáticas gerais</t>
        </is>
      </c>
    </row>
    <row r="4">
      <c r="A4" t="inlineStr">
        <is>
          <t>Integration / Container Materials</t>
        </is>
      </c>
      <c r="B4" t="inlineStr">
        <is>
          <t>Rack Electrical Connection</t>
        </is>
      </c>
      <c r="C4" s="4" t="n">
        <v>25000</v>
      </c>
      <c r="D4" s="5" t="n">
        <v>4844.961240310077</v>
      </c>
      <c r="E4" s="4" t="n">
        <v>31304.78337089907</v>
      </c>
      <c r="F4" s="5" t="n">
        <v>6066.818482732378</v>
      </c>
      <c r="G4" t="inlineStr">
        <is>
          <t>Chicotes e passagem de cabos</t>
        </is>
      </c>
    </row>
    <row r="5">
      <c r="A5" t="inlineStr">
        <is>
          <t>Integration / Container Materials</t>
        </is>
      </c>
      <c r="B5" t="inlineStr">
        <is>
          <t>Internal Electrical System (cabeamento, iluminação interna, 4un strobe, 6un steplights)</t>
        </is>
      </c>
      <c r="C5" s="4" t="n">
        <v>5000</v>
      </c>
      <c r="D5" s="5" t="n">
        <v>968.9922480620155</v>
      </c>
      <c r="E5" s="4" t="n">
        <v>6260.956674179814</v>
      </c>
      <c r="F5" s="5" t="n">
        <v>1213.363696546476</v>
      </c>
      <c r="G5" t="inlineStr">
        <is>
          <t>Horn and headlight not needed</t>
        </is>
      </c>
    </row>
    <row r="6">
      <c r="A6" t="inlineStr">
        <is>
          <t>Integration / Container Materials</t>
        </is>
      </c>
      <c r="B6" t="inlineStr">
        <is>
          <t>MU Connectors (4un), MU Jumpers (2un)</t>
        </is>
      </c>
      <c r="C6" s="4" t="n">
        <v>60000</v>
      </c>
      <c r="D6" s="5" t="n">
        <v>11627.90697674419</v>
      </c>
      <c r="E6" s="4" t="n">
        <v>75131.48009015777</v>
      </c>
      <c r="F6" s="5" t="n">
        <v>14560.36435855771</v>
      </c>
      <c r="G6" t="inlineStr">
        <is>
          <t>Considerando eletrodutos e alongamento de cabeamento do container ao vagão</t>
        </is>
      </c>
    </row>
    <row r="7">
      <c r="A7" t="inlineStr">
        <is>
          <t>Integration / Container Materials</t>
        </is>
      </c>
      <c r="B7" t="inlineStr">
        <is>
          <t>Air Conditioning, Inverter and Power</t>
        </is>
      </c>
      <c r="C7" s="4" t="n">
        <v>100000</v>
      </c>
      <c r="D7" s="5" t="n">
        <v>19379.84496124031</v>
      </c>
      <c r="E7" s="4" t="n">
        <v>125219.1334835963</v>
      </c>
      <c r="F7" s="5" t="n">
        <v>24267.27393092951</v>
      </c>
      <c r="G7" t="inlineStr">
        <is>
          <t>Ar condicionado, inversor e potência para troca de calor</t>
        </is>
      </c>
    </row>
    <row r="8">
      <c r="A8" t="inlineStr">
        <is>
          <t>Integration / Container Materials</t>
        </is>
      </c>
      <c r="B8" t="inlineStr">
        <is>
          <t>Container Thermal Insulation</t>
        </is>
      </c>
      <c r="C8" s="4" t="n">
        <v>100000</v>
      </c>
      <c r="D8" s="5" t="n">
        <v>19379.84496124031</v>
      </c>
      <c r="E8" s="4" t="n">
        <v>125219.1334835963</v>
      </c>
      <c r="F8" s="5" t="n">
        <v>24267.27393092951</v>
      </c>
      <c r="G8" t="inlineStr">
        <is>
          <t>Isolamento térmico interno</t>
        </is>
      </c>
    </row>
    <row r="9">
      <c r="A9" t="inlineStr">
        <is>
          <t>Integration / Container Materials</t>
        </is>
      </c>
      <c r="B9" t="inlineStr">
        <is>
          <t>Steel (railcar repair, ladder and access door)</t>
        </is>
      </c>
      <c r="C9" s="4" t="n">
        <v>12500</v>
      </c>
      <c r="D9" s="5" t="n">
        <v>2422.480620155039</v>
      </c>
      <c r="E9" s="4" t="n">
        <v>15652.39168544954</v>
      </c>
      <c r="F9" s="5" t="n">
        <v>3033.409241366189</v>
      </c>
      <c r="G9" t="inlineStr">
        <is>
          <t>25 reais por quilo</t>
        </is>
      </c>
    </row>
    <row r="10">
      <c r="A10" t="inlineStr">
        <is>
          <t>Integration / Container Materials</t>
        </is>
      </c>
      <c r="B10" t="inlineStr">
        <is>
          <t>Painting and Lettering (Lettering)</t>
        </is>
      </c>
      <c r="C10" s="4" t="n">
        <v>5000</v>
      </c>
      <c r="D10" s="5" t="n">
        <v>968.9922480620155</v>
      </c>
      <c r="E10" s="4" t="n">
        <v>6260.956674179814</v>
      </c>
      <c r="F10" s="5" t="n">
        <v>1213.363696546476</v>
      </c>
      <c r="G10" t="inlineStr">
        <is>
          <t>Não considerando pintar o vagão inteiro</t>
        </is>
      </c>
    </row>
    <row r="11">
      <c r="A11" t="inlineStr">
        <is>
          <t>Integration / Container Materials</t>
        </is>
      </c>
      <c r="B11" t="inlineStr">
        <is>
          <t>Miscellaneous</t>
        </is>
      </c>
      <c r="C11" s="4" t="n">
        <v>10000</v>
      </c>
      <c r="D11" s="5" t="n">
        <v>1937.984496124031</v>
      </c>
      <c r="E11" s="4" t="n">
        <v>12521.91334835963</v>
      </c>
      <c r="F11" s="5" t="n">
        <v>2426.727393092951</v>
      </c>
      <c r="G11" t="inlineStr">
        <is>
          <t>Insumos e materiais diversos</t>
        </is>
      </c>
    </row>
    <row r="12">
      <c r="A12" t="inlineStr">
        <is>
          <t>Labor and Field Services</t>
        </is>
      </c>
      <c r="B12" t="inlineStr">
        <is>
          <t>Assembly and Integration Labor (Labor Cost)</t>
        </is>
      </c>
      <c r="C12" s="4" t="n">
        <v>122752</v>
      </c>
      <c r="D12" s="5" t="n">
        <v>23789.14728682171</v>
      </c>
      <c r="E12" s="4" t="n">
        <v>153708.9907337841</v>
      </c>
      <c r="F12" s="5" t="n">
        <v>29788.5640956946</v>
      </c>
      <c r="G12" t="inlineStr">
        <is>
          <t>1.096 horas (mecânica, elétrica, solda, pintura e campo) @ R$ 112/h</t>
        </is>
      </c>
    </row>
    <row r="13">
      <c r="A13" t="inlineStr">
        <is>
          <t>Labor and Field Services</t>
        </is>
      </c>
      <c r="B13" t="inlineStr">
        <is>
          <t>Engineering / Project Design (NRE)</t>
        </is>
      </c>
      <c r="C13" s="4" t="n">
        <v>39424</v>
      </c>
      <c r="D13" s="5" t="n">
        <v>7640.31007751938</v>
      </c>
      <c r="E13" s="4" t="n">
        <v>49366.391184573</v>
      </c>
      <c r="F13" s="5" t="n">
        <v>9567.130074529652</v>
      </c>
      <c r="G13" t="inlineStr">
        <is>
          <t>1 engenheiro + 1 projetista durante 1 mês</t>
        </is>
      </c>
    </row>
    <row r="14">
      <c r="A14" t="inlineStr">
        <is>
          <t>Labor and Field Services</t>
        </is>
      </c>
      <c r="B14" t="inlineStr">
        <is>
          <t>Field Commissioning</t>
        </is>
      </c>
      <c r="C14" s="4" t="n">
        <v>44352</v>
      </c>
      <c r="D14" s="5" t="n">
        <v>8595.348837209302</v>
      </c>
      <c r="E14" s="4" t="n">
        <v>55537.19008264463</v>
      </c>
      <c r="F14" s="5" t="n">
        <v>10763.02133384586</v>
      </c>
      <c r="G14" t="inlineStr">
        <is>
          <t>396 horas de campo</t>
        </is>
      </c>
    </row>
    <row r="15">
      <c r="A15" t="inlineStr">
        <is>
          <t>Labor and Field Services</t>
        </is>
      </c>
      <c r="B15" t="inlineStr">
        <is>
          <t>Container Freight / Transportation</t>
        </is>
      </c>
      <c r="C15" s="4" t="n">
        <v>20000</v>
      </c>
      <c r="D15" s="5" t="n">
        <v>3875.968992248062</v>
      </c>
      <c r="E15" s="4" t="n">
        <v>25043.82669671926</v>
      </c>
      <c r="F15" s="5" t="n">
        <v>4853.454786185903</v>
      </c>
      <c r="G15" t="inlineStr">
        <is>
          <t>Trazer Container para o local de montagem</t>
        </is>
      </c>
    </row>
    <row r="16">
      <c r="A16" t="inlineStr">
        <is>
          <t>Labor and Field Services</t>
        </is>
      </c>
      <c r="B16" t="inlineStr">
        <is>
          <t>Training</t>
        </is>
      </c>
      <c r="C16" s="4" t="n">
        <v>2000</v>
      </c>
      <c r="D16" s="5" t="n">
        <v>387.5968992248062</v>
      </c>
      <c r="E16" s="4" t="n">
        <v>2504.382669671926</v>
      </c>
      <c r="F16" s="5" t="n">
        <v>485.3454786185902</v>
      </c>
      <c r="G16" t="inlineStr">
        <is>
          <t>Apenas funcionalidade do container</t>
        </is>
      </c>
    </row>
    <row r="17">
      <c r="A17" t="inlineStr">
        <is>
          <t>Labor and Field Services</t>
        </is>
      </c>
      <c r="B17" t="inlineStr">
        <is>
          <t>12-Month Warranty (3%)</t>
        </is>
      </c>
      <c r="C17" s="4" t="n">
        <v>39000</v>
      </c>
      <c r="D17" s="5" t="n">
        <v>7558.13953488372</v>
      </c>
      <c r="E17" s="4" t="n">
        <v>48835.46205860256</v>
      </c>
      <c r="F17" s="5" t="n">
        <v>9464.23683306251</v>
      </c>
      <c r="G17" t="inlineStr">
        <is>
          <t>3% rate applied to cost</t>
        </is>
      </c>
    </row>
    <row r="18">
      <c r="A18" t="inlineStr">
        <is>
          <t>Labor and Field Services</t>
        </is>
      </c>
      <c r="B18" t="inlineStr">
        <is>
          <t>SG&amp;A (5%)</t>
        </is>
      </c>
      <c r="C18" s="4" t="n">
        <v>27762.6</v>
      </c>
      <c r="D18" s="5" t="n">
        <v>5380.348837209302</v>
      </c>
      <c r="E18" s="4" t="n">
        <v>34764.08715251691</v>
      </c>
      <c r="F18" s="5" t="n">
        <v>6737.226192348237</v>
      </c>
      <c r="G18" t="inlineStr">
        <is>
          <t>5% rate applied to administrative expenses</t>
        </is>
      </c>
    </row>
    <row r="19">
      <c r="A19" s="2" t="inlineStr">
        <is>
          <t>TOTAL GDT ROLLUP</t>
        </is>
      </c>
      <c r="B19" s="2" t="inlineStr">
        <is>
          <t>Total Integration, Adaptation and Services</t>
        </is>
      </c>
      <c r="C19" s="7" t="n">
        <v>707790.6</v>
      </c>
      <c r="D19" s="8" t="n">
        <v>137168.7209302326</v>
      </c>
      <c r="E19" s="7" t="n">
        <v>886289.2561983471</v>
      </c>
      <c r="F19" s="8" t="n">
        <v>171761.4837593696</v>
      </c>
      <c r="G19" s="2" t="inlineStr">
        <is>
          <t>Sum of all additional materials and services from the rollup</t>
        </is>
      </c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4"/>
    <col width="48" customWidth="1" min="5" max="5"/>
  </cols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System</t>
        </is>
      </c>
      <c r="D1" t="inlineStr">
        <is>
          <t>SubSystem</t>
        </is>
      </c>
      <c r="E1" t="inlineStr">
        <is>
          <t>Status</t>
        </is>
      </c>
    </row>
    <row r="2">
      <c r="B2" t="inlineStr">
        <is>
          <t>Ditchlight Control Box (SMART BOX-V3-DLC )</t>
        </is>
      </c>
      <c r="C2" t="inlineStr">
        <is>
          <t>Controls (MCA, train control, er etc)</t>
        </is>
      </c>
      <c r="D2" t="inlineStr">
        <is>
          <t>TRAIN CONTROL</t>
        </is>
      </c>
      <c r="E2" t="inlineStr">
        <is>
          <t>Quotation pending (no USD or BRL price)</t>
        </is>
      </c>
    </row>
    <row r="3">
      <c r="B3" t="inlineStr">
        <is>
          <t>LED Ditch Light</t>
        </is>
      </c>
      <c r="C3" t="inlineStr">
        <is>
          <t>Controls (MCA, train control, er etc)</t>
        </is>
      </c>
      <c r="D3" t="inlineStr">
        <is>
          <t>TRAIN CONTROL</t>
        </is>
      </c>
      <c r="E3" t="inlineStr">
        <is>
          <t>Quotation pending (no USD or BRL price)</t>
        </is>
      </c>
    </row>
    <row r="4">
      <c r="A4" t="inlineStr">
        <is>
          <t>41A296326CYP77</t>
        </is>
      </c>
      <c r="B4" t="inlineStr">
        <is>
          <t>M12-A_ MALE_ 8-PIN_ STRAIGHT BSH</t>
        </is>
      </c>
      <c r="C4" t="inlineStr">
        <is>
          <t>SKID Assembly</t>
        </is>
      </c>
      <c r="D4" t="inlineStr">
        <is>
          <t>SKID (Skid)</t>
        </is>
      </c>
      <c r="E4" t="inlineStr">
        <is>
          <t>Quotation pending (no USD or BRL price)</t>
        </is>
      </c>
    </row>
    <row r="5">
      <c r="A5" t="inlineStr">
        <is>
          <t>41A296352PTP272</t>
        </is>
      </c>
      <c r="B5" t="inlineStr">
        <is>
          <t>BC-PRECISION NAVIGATION MODULE</t>
        </is>
      </c>
      <c r="C5" t="inlineStr">
        <is>
          <t>SKID Assembly</t>
        </is>
      </c>
      <c r="D5" t="inlineStr">
        <is>
          <t>SKID (Skid)</t>
        </is>
      </c>
      <c r="E5" t="inlineStr">
        <is>
          <t>Quotation pending (no USD or BRL price)</t>
        </is>
      </c>
    </row>
    <row r="6">
      <c r="A6" t="inlineStr">
        <is>
          <t>41A296352PTP58</t>
        </is>
      </c>
      <c r="B6" t="inlineStr">
        <is>
          <t>AY-DISPLAY CSX PTC DISPLAY</t>
        </is>
      </c>
      <c r="C6" t="inlineStr">
        <is>
          <t>SKID Assembly</t>
        </is>
      </c>
      <c r="D6" t="inlineStr">
        <is>
          <t>SKID (Skid)</t>
        </is>
      </c>
      <c r="E6" t="inlineStr">
        <is>
          <t>Quotation pending (no USD or BRL price)</t>
        </is>
      </c>
    </row>
    <row r="7">
      <c r="A7" t="inlineStr">
        <is>
          <t>41A296352PTP292</t>
        </is>
      </c>
      <c r="B7" t="inlineStr">
        <is>
          <t>AX-POWER SUPPLY 13.6 V</t>
        </is>
      </c>
      <c r="C7" t="inlineStr">
        <is>
          <t>SKID Assembly</t>
        </is>
      </c>
      <c r="D7" t="inlineStr">
        <is>
          <t>SKID (Skid)</t>
        </is>
      </c>
      <c r="E7" t="inlineStr">
        <is>
          <t>Quotation pending (no USD or BRL price)</t>
        </is>
      </c>
    </row>
    <row r="8">
      <c r="A8" t="inlineStr">
        <is>
          <t>MODEM ATT</t>
        </is>
      </c>
      <c r="B8" t="inlineStr">
        <is>
          <t>MODEM ATT</t>
        </is>
      </c>
      <c r="C8" t="inlineStr">
        <is>
          <t>SKID Assembly</t>
        </is>
      </c>
      <c r="D8" t="inlineStr">
        <is>
          <t>SKID (Skid)</t>
        </is>
      </c>
      <c r="E8" t="inlineStr">
        <is>
          <t>Quotation pending (no USD or BRL price)</t>
        </is>
      </c>
    </row>
    <row r="9">
      <c r="A9" t="inlineStr">
        <is>
          <t>84A237085AJP1</t>
        </is>
      </c>
      <c r="B9" t="inlineStr">
        <is>
          <t>C-GoLIN EP_3 SMA_M2 CELL MODEM</t>
        </is>
      </c>
      <c r="C9" t="inlineStr">
        <is>
          <t>SKID Assembly</t>
        </is>
      </c>
      <c r="D9" t="inlineStr">
        <is>
          <t>Controls (MCA, train control, er etc)</t>
        </is>
      </c>
      <c r="E9" t="inlineStr">
        <is>
          <t>Quotation pending (no USD or BRL price)</t>
        </is>
      </c>
    </row>
    <row r="10">
      <c r="A10" t="inlineStr">
        <is>
          <t>17FL400B</t>
        </is>
      </c>
      <c r="B10" t="inlineStr">
        <is>
          <t>ST-DEVELOPER v19.4</t>
        </is>
      </c>
      <c r="C10" t="inlineStr">
        <is>
          <t>SKID Assembly</t>
        </is>
      </c>
      <c r="D10" t="inlineStr">
        <is>
          <t>SKID (Skid)</t>
        </is>
      </c>
      <c r="E10" t="inlineStr">
        <is>
          <t>Quotation pending (no USD or BRL price)</t>
        </is>
      </c>
    </row>
    <row r="11">
      <c r="A11" t="inlineStr">
        <is>
          <t>17FL519A1</t>
        </is>
      </c>
      <c r="B11" t="inlineStr">
        <is>
          <t>TMC PANEL</t>
        </is>
      </c>
      <c r="C11" t="inlineStr">
        <is>
          <t>SKID Assembly</t>
        </is>
      </c>
      <c r="D11" t="inlineStr">
        <is>
          <t>SKID (Skid)</t>
        </is>
      </c>
      <c r="E11" t="inlineStr">
        <is>
          <t>Quotation pending (no USD or BRL price)</t>
        </is>
      </c>
    </row>
    <row r="12">
      <c r="A12" t="inlineStr">
        <is>
          <t>41A296352CMP448</t>
        </is>
      </c>
      <c r="B12" t="inlineStr">
        <is>
          <t>FB-DIGITAL RADIO MODULE</t>
        </is>
      </c>
      <c r="C12" t="inlineStr">
        <is>
          <t>SKID Assembly</t>
        </is>
      </c>
      <c r="D12" t="inlineStr">
        <is>
          <t>SKID (Skid)</t>
        </is>
      </c>
      <c r="E12" t="inlineStr">
        <is>
          <t>Quotation pending (no USD or BRL price)</t>
        </is>
      </c>
    </row>
    <row r="13">
      <c r="A13" t="inlineStr">
        <is>
          <t>41A296352PTP326</t>
        </is>
      </c>
      <c r="B13" t="inlineStr">
        <is>
          <t>BH-WABTEC TRAIN MANAGEMENT COMPUTER _WTMC_</t>
        </is>
      </c>
      <c r="C13" t="inlineStr">
        <is>
          <t>SKID Assembly</t>
        </is>
      </c>
      <c r="D13" t="inlineStr">
        <is>
          <t>SKID (Skid)</t>
        </is>
      </c>
      <c r="E13" t="inlineStr">
        <is>
          <t>Quotation pending (no USD or BRL price)</t>
        </is>
      </c>
    </row>
    <row r="14">
      <c r="A14" t="inlineStr">
        <is>
          <t>17FM711C3</t>
        </is>
      </c>
      <c r="B14" t="inlineStr">
        <is>
          <t>H-PANEL DBM</t>
        </is>
      </c>
      <c r="C14" t="inlineStr">
        <is>
          <t>SKID Assembly</t>
        </is>
      </c>
      <c r="D14" t="inlineStr">
        <is>
          <t>SKID (Skid)</t>
        </is>
      </c>
      <c r="E14" t="inlineStr">
        <is>
          <t>Quotation pending (no USD or BRL price)</t>
        </is>
      </c>
    </row>
    <row r="15">
      <c r="A15" t="inlineStr">
        <is>
          <t>41A296352BCP9</t>
        </is>
      </c>
      <c r="B15" t="inlineStr">
        <is>
          <t>N-HEAD OF TRAIN DEVICE</t>
        </is>
      </c>
      <c r="C15" t="inlineStr">
        <is>
          <t>SKID Assembly</t>
        </is>
      </c>
      <c r="D15" t="inlineStr">
        <is>
          <t>SKID (Skid)</t>
        </is>
      </c>
      <c r="E15" t="inlineStr">
        <is>
          <t>Quotation pending (no USD or BRL price)</t>
        </is>
      </c>
    </row>
    <row r="16">
      <c r="A16" t="inlineStr">
        <is>
          <t>17FM839A3</t>
        </is>
      </c>
      <c r="B16" t="inlineStr">
        <is>
          <t>TCD (Thin Client Display)</t>
        </is>
      </c>
      <c r="C16" t="inlineStr">
        <is>
          <t>SKID Assembly</t>
        </is>
      </c>
      <c r="D16" t="inlineStr">
        <is>
          <t>SKID (Skid)</t>
        </is>
      </c>
      <c r="E16" t="inlineStr">
        <is>
          <t>Quotation pending (no USD or BRL price)</t>
        </is>
      </c>
    </row>
    <row r="17">
      <c r="A17" t="inlineStr">
        <is>
          <t>84A201850P17</t>
        </is>
      </c>
      <c r="B17" t="inlineStr">
        <is>
          <t>SWITCH - AC</t>
        </is>
      </c>
      <c r="C17" t="inlineStr">
        <is>
          <t>SKID Assembly</t>
        </is>
      </c>
      <c r="D17" t="inlineStr">
        <is>
          <t>SKID (Skid)</t>
        </is>
      </c>
      <c r="E17" t="inlineStr">
        <is>
          <t>Quotation pending (no USD or BRL price)</t>
        </is>
      </c>
    </row>
    <row r="18">
      <c r="A18" t="inlineStr">
        <is>
          <t>RL-1033772</t>
        </is>
      </c>
      <c r="B18" t="inlineStr">
        <is>
          <t>ASSEMBLY, RELAY BOARD</t>
        </is>
      </c>
      <c r="C18" t="inlineStr">
        <is>
          <t>SKID Assembly</t>
        </is>
      </c>
      <c r="D18" t="inlineStr">
        <is>
          <t>SKID (Skid)</t>
        </is>
      </c>
      <c r="E18" t="inlineStr">
        <is>
          <t>Quotation pending (no USD or BRL price)</t>
        </is>
      </c>
    </row>
    <row r="19">
      <c r="A19" t="inlineStr">
        <is>
          <t>41B549523ADP15</t>
        </is>
      </c>
      <c r="B19" t="inlineStr">
        <is>
          <t>SWITCH PUSH BUTTON</t>
        </is>
      </c>
      <c r="C19" t="inlineStr">
        <is>
          <t>SKID Assembly</t>
        </is>
      </c>
      <c r="D19" t="inlineStr">
        <is>
          <t>SKID (Skid)</t>
        </is>
      </c>
      <c r="E19" t="inlineStr">
        <is>
          <t>Quotation pending (no USD or BRL price)</t>
        </is>
      </c>
    </row>
    <row r="20">
      <c r="A20" t="inlineStr">
        <is>
          <t>BAP900F</t>
        </is>
      </c>
      <c r="B20" t="inlineStr">
        <is>
          <t>CONVERTER/CHARGER DC/DC 74/72-F4WTSA</t>
        </is>
      </c>
      <c r="C20" t="inlineStr">
        <is>
          <t>SKID Assembly</t>
        </is>
      </c>
      <c r="D20" t="inlineStr">
        <is>
          <t>SKID (Skid)</t>
        </is>
      </c>
      <c r="E20" t="inlineStr">
        <is>
          <t>Quotation pending (no USD or BRL price)</t>
        </is>
      </c>
    </row>
    <row r="21">
      <c r="A21" t="inlineStr">
        <is>
          <t>41A296352PTP360</t>
        </is>
      </c>
      <c r="B21" t="inlineStr">
        <is>
          <t>_BB-CUT-OUT SWITCH CABINET</t>
        </is>
      </c>
      <c r="C21" t="inlineStr">
        <is>
          <t>SKID Assembly</t>
        </is>
      </c>
      <c r="D21" t="inlineStr">
        <is>
          <t>SKID (Skid)</t>
        </is>
      </c>
      <c r="E21" t="inlineStr">
        <is>
          <t>Quotation pending (no USD or BRL price)</t>
        </is>
      </c>
    </row>
    <row r="22">
      <c r="A22" t="inlineStr">
        <is>
          <t>N265P21B</t>
        </is>
      </c>
      <c r="B22" t="inlineStr">
        <is>
          <t>NUT, HEX, LOCK, 1/4-20, GR5, Z</t>
        </is>
      </c>
      <c r="C22" t="inlineStr">
        <is>
          <t>SKID Assembly</t>
        </is>
      </c>
      <c r="D22" t="inlineStr">
        <is>
          <t>SKID (Skid)</t>
        </is>
      </c>
      <c r="E22" t="inlineStr">
        <is>
          <t>Quotation pending (no USD or BRL price)</t>
        </is>
      </c>
    </row>
    <row r="23">
      <c r="A23" t="inlineStr">
        <is>
          <t>N647AP21012B</t>
        </is>
      </c>
      <c r="B23" t="inlineStr">
        <is>
          <t>BOLT, BHCS, 1/4"-20 X 3/4", 18-8</t>
        </is>
      </c>
      <c r="C23" t="inlineStr">
        <is>
          <t>SKID Assembly</t>
        </is>
      </c>
      <c r="D23" t="inlineStr">
        <is>
          <t>SKID (Skid)</t>
        </is>
      </c>
      <c r="E23" t="inlineStr">
        <is>
          <t>Quotation pending (no USD or BRL price)</t>
        </is>
      </c>
    </row>
    <row r="24">
      <c r="A24" t="inlineStr">
        <is>
          <t>1009634-901</t>
        </is>
      </c>
      <c r="B24" t="inlineStr">
        <is>
          <t>SFM 701x Smart Fan Module</t>
        </is>
      </c>
      <c r="C24" t="inlineStr">
        <is>
          <t>SKID Assembly</t>
        </is>
      </c>
      <c r="D24" t="inlineStr">
        <is>
          <t>bottom on ACC</t>
        </is>
      </c>
      <c r="E24" t="inlineStr">
        <is>
          <t>Quotation pending (no USD or BRL price)</t>
        </is>
      </c>
    </row>
    <row r="25">
      <c r="A25" t="inlineStr">
        <is>
          <t>401581-100</t>
        </is>
      </c>
      <c r="B25" t="inlineStr">
        <is>
          <t>SFPIM 703x 15v Smart Fan Module</t>
        </is>
      </c>
      <c r="C25" t="inlineStr">
        <is>
          <t>SKID Assembly</t>
        </is>
      </c>
      <c r="D25" t="inlineStr">
        <is>
          <t>41A296352VHP1_E-GEW</t>
        </is>
      </c>
      <c r="E25" t="inlineStr">
        <is>
          <t>Quotation pending (no USD or BRL price)</t>
        </is>
      </c>
    </row>
    <row r="26">
      <c r="A26" t="inlineStr">
        <is>
          <t>PTC-FILT-NB-160-MIL-U</t>
        </is>
      </c>
      <c r="B26" t="inlineStr">
        <is>
          <t>160 MHz PTC Filter</t>
        </is>
      </c>
      <c r="C26" t="inlineStr">
        <is>
          <t>SKID Assembly</t>
        </is>
      </c>
      <c r="D26" t="inlineStr">
        <is>
          <t>later</t>
        </is>
      </c>
      <c r="E26" t="inlineStr">
        <is>
          <t>Quotation pending (no USD or BRL price)</t>
        </is>
      </c>
    </row>
    <row r="27">
      <c r="A27" t="inlineStr">
        <is>
          <t>PTC-FILT-NB-220-MIL-MF</t>
        </is>
      </c>
      <c r="B27" t="inlineStr">
        <is>
          <t>220 Mhz PTC FILTER</t>
        </is>
      </c>
      <c r="C27" t="inlineStr">
        <is>
          <t>SKID Assembly</t>
        </is>
      </c>
      <c r="D27" t="inlineStr">
        <is>
          <t>later</t>
        </is>
      </c>
      <c r="E27" t="inlineStr">
        <is>
          <t>Quotation pending (no USD or BRL price)</t>
        </is>
      </c>
    </row>
    <row r="28">
      <c r="B28" t="inlineStr">
        <is>
          <t>PTC Junction Box</t>
        </is>
      </c>
      <c r="C28" t="inlineStr">
        <is>
          <t>SKID Assembly</t>
        </is>
      </c>
      <c r="D28" t="inlineStr">
        <is>
          <t>SKID (Skid)</t>
        </is>
      </c>
      <c r="E28" t="inlineStr">
        <is>
          <t>Quotation pending (no USD or BRL price)</t>
        </is>
      </c>
    </row>
    <row r="29">
      <c r="A29" t="inlineStr">
        <is>
          <t>41A296352LUP15</t>
        </is>
      </c>
      <c r="B29" t="inlineStr">
        <is>
          <t>455 MHz Antenna (DPA, DPB, EOT )</t>
        </is>
      </c>
      <c r="C29" t="inlineStr">
        <is>
          <t>SKID Assembly</t>
        </is>
      </c>
      <c r="D29" t="inlineStr">
        <is>
          <t>SKID (Skid)</t>
        </is>
      </c>
      <c r="E29" t="inlineStr">
        <is>
          <t>Quotation pending (no USD or BRL price)</t>
        </is>
      </c>
    </row>
    <row r="30">
      <c r="A30" t="inlineStr">
        <is>
          <t>84D749224G1</t>
        </is>
      </c>
      <c r="B30" t="inlineStr">
        <is>
          <t>Power resistor</t>
        </is>
      </c>
      <c r="C30" t="inlineStr">
        <is>
          <t>SKID Assembly</t>
        </is>
      </c>
      <c r="D30" t="inlineStr">
        <is>
          <t>Battery Skid?</t>
        </is>
      </c>
      <c r="E30" t="inlineStr">
        <is>
          <t>Quotation pending (no USD or BRL price)</t>
        </is>
      </c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2026-09-15T15:10:48Z</dcterms:created>
  <dcterms:modified xsi:type="dcterms:W3CDTF">2026-09-16T15:52:53Z</dcterms:modified>
  <cp:lastModifiedBy>de Oliveira, Matheus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7903732-8a6f-4e0e-952b-fe0b250d49cc_Enabled" fmtid="{D5CDD505-2E9C-101B-9397-08002B2CF9AE}" pid="2">
    <vt:lpwstr>true</vt:lpwstr>
  </property>
  <property name="MSIP_Label_57903732-8a6f-4e0e-952b-fe0b250d49cc_SetDate" fmtid="{D5CDD505-2E9C-101B-9397-08002B2CF9AE}" pid="3">
    <vt:lpwstr>2026-09-15T18:16:42Z</vt:lpwstr>
  </property>
  <property name="MSIP_Label_57903732-8a6f-4e0e-952b-fe0b250d49cc_Method" fmtid="{D5CDD505-2E9C-101B-9397-08002B2CF9AE}" pid="4">
    <vt:lpwstr>Standard</vt:lpwstr>
  </property>
  <property name="MSIP_Label_57903732-8a6f-4e0e-952b-fe0b250d49cc_Name" fmtid="{D5CDD505-2E9C-101B-9397-08002B2CF9AE}" pid="5">
    <vt:lpwstr>1- General Business</vt:lpwstr>
  </property>
  <property name="MSIP_Label_57903732-8a6f-4e0e-952b-fe0b250d49cc_SiteId" fmtid="{D5CDD505-2E9C-101B-9397-08002B2CF9AE}" pid="6">
    <vt:lpwstr>90f1aac4-c661-46a9-83fd-e021705adcc9</vt:lpwstr>
  </property>
  <property name="MSIP_Label_57903732-8a6f-4e0e-952b-fe0b250d49cc_ActionId" fmtid="{D5CDD505-2E9C-101B-9397-08002B2CF9AE}" pid="7">
    <vt:lpwstr>3c4f8067-6a9e-4926-a1d7-7db9f9751ac0</vt:lpwstr>
  </property>
  <property name="MSIP_Label_57903732-8a6f-4e0e-952b-fe0b250d49cc_ContentBits" fmtid="{D5CDD505-2E9C-101B-9397-08002B2CF9AE}" pid="8">
    <vt:lpwstr>1</vt:lpwstr>
  </property>
  <property name="MSIP_Label_57903732-8a6f-4e0e-952b-fe0b250d49cc_Tag" fmtid="{D5CDD505-2E9C-101B-9397-08002B2CF9AE}" pid="9">
    <vt:lpwstr>10, 3, 0, 1</vt:lpwstr>
  </property>
</Properties>
</file>